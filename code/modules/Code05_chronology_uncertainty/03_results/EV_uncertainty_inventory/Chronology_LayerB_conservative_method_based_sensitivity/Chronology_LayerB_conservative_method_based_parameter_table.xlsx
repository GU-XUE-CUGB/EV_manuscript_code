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53eff59d0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8b302ae9184d61"/>
    <x:sheet xmlns:r="http://schemas.openxmlformats.org/officeDocument/2006/relationships" name="Active groups" sheetId="2" r:id="Ra237ccdf44404380"/>
    <x:sheet xmlns:r="http://schemas.openxmlformats.org/officeDocument/2006/relationships" name="Record parameters" sheetId="3" r:id="R43fb3e5ba4904061"/>
    <x:sheet xmlns:r="http://schemas.openxmlformats.org/officeDocument/2006/relationships" name="Method summary" sheetId="4" r:id="R342c1d92dd184ca4"/>
    <x:sheet xmlns:r="http://schemas.openxmlformats.org/officeDocument/2006/relationships" name="Fixed records" sheetId="5" r:id="R8e45970871064e19"/>
    <x:sheet xmlns:r="http://schemas.openxmlformats.org/officeDocument/2006/relationships" name="Common systematics" sheetId="6" r:id="R05a3046b35454b45"/>
    <x:sheet xmlns:r="http://schemas.openxmlformats.org/officeDocument/2006/relationships" name="Source evidence" sheetId="7" r:id="R45a4c5b13e4d47c2"/>
    <x:sheet xmlns:r="http://schemas.openxmlformats.org/officeDocument/2006/relationships" name="Decision rules" sheetId="8" r:id="Rd53b66a52c0d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Arial"/>
    </x:font>
    <x:font>
      <x:sz val="9"/>
      <x:color rgb="FF385723"/>
      <x:name val="Arial"/>
    </x:font>
    <x:font>
      <x:b/>
      <x:sz val="8"/>
      <x:color rgb="FFFFFFFF"/>
      <x:name val="Arial"/>
    </x:font>
    <x:font>
      <x:sz val="8"/>
      <x:name val="Arial"/>
    </x:font>
    <x:font>
      <x:b/>
      <x:sz val="9"/>
      <x:color rgb="FFFFFFFF"/>
      <x:name val="Arial"/>
    </x:font>
    <x:font>
      <x:sz val="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7FBFF"/>
      </x:patternFill>
    </x:fill>
  </x:fills>
  <x:borders count="7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6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6" borderId="6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200" fontId="6" fillId="5" borderId="4" xfId="0" applyNumberFormat="1" applyFont="1" applyFill="1" applyBorder="1" applyAlignment="1">
      <x:alignment vertical="top" wrapText="1"/>
    </x:xf>
    <x:xf numFmtId="200" fontId="6" fillId="6" borderId="5" xfId="0" applyNumberFormat="1" applyFont="1" applyFill="1" applyBorder="1" applyAlignment="1">
      <x:alignment vertical="top" wrapText="1"/>
    </x:xf>
    <x:xf numFmtId="200" fontId="6" fillId="5" borderId="5" xfId="0" applyNumberFormat="1" applyFont="1" applyFill="1" applyBorder="1" applyAlignment="1">
      <x:alignment vertical="top" wrapText="1"/>
    </x:xf>
    <x:xf numFmtId="201" fontId="6" fillId="6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3dc2915a043a6" /><Relationship Type="http://schemas.openxmlformats.org/officeDocument/2006/relationships/theme" Target="/xl/theme/theme1.xml" Id="Rfa5f39e62c6a4790" /><Relationship Type="http://schemas.openxmlformats.org/officeDocument/2006/relationships/sharedStrings" Target="/xl/sharedStrings.xml" Id="Rf6bb4d8ae3214458" /><Relationship Type="http://schemas.openxmlformats.org/officeDocument/2006/relationships/worksheet" Target="/xl/worksheets/sheet1.xml" Id="R208b302ae9184d61" /><Relationship Type="http://schemas.openxmlformats.org/officeDocument/2006/relationships/worksheet" Target="/xl/worksheets/sheet2.xml" Id="Ra237ccdf44404380" /><Relationship Type="http://schemas.openxmlformats.org/officeDocument/2006/relationships/worksheet" Target="/xl/worksheets/sheet3.xml" Id="R43fb3e5ba4904061" /><Relationship Type="http://schemas.openxmlformats.org/officeDocument/2006/relationships/worksheet" Target="/xl/worksheets/sheet4.xml" Id="R342c1d92dd184ca4" /><Relationship Type="http://schemas.openxmlformats.org/officeDocument/2006/relationships/worksheet" Target="/xl/worksheets/sheet5.xml" Id="R8e45970871064e19" /><Relationship Type="http://schemas.openxmlformats.org/officeDocument/2006/relationships/worksheet" Target="/xl/worksheets/sheet6.xml" Id="R05a3046b35454b45" /><Relationship Type="http://schemas.openxmlformats.org/officeDocument/2006/relationships/worksheet" Target="/xl/worksheets/sheet7.xml" Id="R45a4c5b13e4d47c2" /><Relationship Type="http://schemas.openxmlformats.org/officeDocument/2006/relationships/worksheet" Target="/xl/worksheets/sheet8.xml" Id="Rd53b66a52c0d45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7" hidden="0" customWidth="1"/>
    <x:col min="3" max="3" width="20" hidden="0" customWidth="1"/>
    <x:col min="4" max="4" width="27" hidden="0" customWidth="1"/>
    <x:col min="5" max="5" width="18" hidden="0" customWidth="1"/>
    <x:col min="6" max="6" width="75" hidden="0" customWidth="1"/>
  </x:cols>
  <x:sheetData>
    <x:row r="1" ht="30" customHeight="1">
      <x:c r="A1" s="3" t="str">
        <x:v>Chronology Layer B — conservative method-based sensitivity decision</x:v>
      </x:c>
    </x:row>
    <x:row r="2" ht="44" customHeight="1">
      <x:c r="A2" s="7" t="str">
        <x:v>Primary chronology sensitivity remains 24 records. Conservative Layer B adds method-supported shared-group and segment-correlated sensitivities while excluding common absolute systematics, unsupported local ranges, and structural gaps.</x:v>
      </x:c>
    </x:row>
    <x:row r="4">
      <x:c r="A4" s="45" t="str">
        <x:v>Metric</x:v>
      </x:c>
      <x:c r="B4" s="46" t="str">
        <x:v>Value</x:v>
      </x:c>
      <x:c r="C4" s="46" t="str">
        <x:v>Unit</x:v>
      </x:c>
      <x:c r="D4" s="46" t="str">
        <x:v>Formula/source</x:v>
      </x:c>
      <x:c r="E4" s="46" t="str">
        <x:v>Status</x:v>
      </x:c>
      <x:c r="F4" s="47" t="str">
        <x:v>Interpretation</x:v>
      </x:c>
    </x:row>
    <x:row r="5" ht="15" hidden="0" customHeight="1">
      <x:c r="A5" s="58" t="str">
        <x:v>Operational records reconciled</x:v>
      </x:c>
      <x:c r="B5" s="62" t="n">
        <x:f>COUNTA('Record parameters'!$A$5:$A$74)</x:f>
        <x:v>70</x:v>
      </x:c>
      <x:c r="C5" s="58" t="str">
        <x:v>records</x:v>
      </x:c>
      <x:c r="D5" s="58" t="str">
        <x:v>Record parameters</x:v>
      </x:c>
      <x:c r="E5" s="58" t="str">
        <x:v>PASS</x:v>
      </x:c>
      <x:c r="F5" s="58" t="str">
        <x:v>All current operational records represented once.</x:v>
      </x:c>
    </x:row>
    <x:row r="6" ht="15" hidden="0" customHeight="1">
      <x:c r="A6" s="59" t="str">
        <x:v>Retained measurements reconciled</x:v>
      </x:c>
      <x:c r="B6" s="63" t="n">
        <x:f>SUM('Record parameters'!$E$5:$E$74)</x:f>
        <x:v>10881</x:v>
      </x:c>
      <x:c r="C6" s="59" t="str">
        <x:v>measurements</x:v>
      </x:c>
      <x:c r="D6" s="59" t="str">
        <x:v>Record parameters</x:v>
      </x:c>
      <x:c r="E6" s="59" t="str">
        <x:v>PASS</x:v>
      </x:c>
      <x:c r="F6" s="59" t="str">
        <x:v>Matches the retained baseline denominator.</x:v>
      </x:c>
    </x:row>
    <x:row r="7" ht="15" hidden="0" customHeight="1">
      <x:c r="A7" s="60" t="str">
        <x:v>Primary records retained</x:v>
      </x:c>
      <x:c r="B7" s="64" t="n">
        <x:f>COUNTIF('Record parameters'!$K$5:$K$74,"Primary retained")</x:f>
        <x:v>24</x:v>
      </x:c>
      <x:c r="C7" s="60" t="str">
        <x:v>records</x:v>
      </x:c>
      <x:c r="D7" s="60" t="str">
        <x:v>scenario_role</x:v>
      </x:c>
      <x:c r="E7" s="60" t="str">
        <x:v>Retained</x:v>
      </x:c>
      <x:c r="F7" s="60" t="str">
        <x:v>ODP1209, U1403 and Seymour primary membership unchanged.</x:v>
      </x:c>
    </x:row>
    <x:row r="8" ht="15" hidden="0" customHeight="1">
      <x:c r="A8" s="59" t="str">
        <x:v>New Layer B records</x:v>
      </x:c>
      <x:c r="B8" s="63" t="n">
        <x:f>COUNTIF('Record parameters'!$K$5:$K$74,"Layer B added")</x:f>
        <x:v>14</x:v>
      </x:c>
      <x:c r="C8" s="59" t="str">
        <x:v>records</x:v>
      </x:c>
      <x:c r="D8" s="59" t="str">
        <x:v>scenario_role</x:v>
      </x:c>
      <x:c r="E8" s="59" t="str">
        <x:v>Added</x:v>
      </x:c>
      <x:c r="F8" s="59" t="str">
        <x:v>ODP1210 (2), ODP1262/1267 (9) and ODP690 (3).</x:v>
      </x:c>
    </x:row>
    <x:row r="9" ht="15" hidden="0" customHeight="1">
      <x:c r="A9" s="60" t="str">
        <x:v>Final active records</x:v>
      </x:c>
      <x:c r="B9" s="64" t="n">
        <x:f>SUM('Record parameters'!$H$5:$H$74)</x:f>
        <x:v>38</x:v>
      </x:c>
      <x:c r="C9" s="60" t="str">
        <x:v>records</x:v>
      </x:c>
      <x:c r="D9" s="60" t="str">
        <x:v>active_flag</x:v>
      </x:c>
      <x:c r="E9" s="60" t="str">
        <x:v>Active</x:v>
      </x:c>
      <x:c r="F9" s="60" t="str">
        <x:v>Primary + conservative method-based additions.</x:v>
      </x:c>
    </x:row>
    <x:row r="10" ht="15" hidden="0" customHeight="1">
      <x:c r="A10" s="59" t="str">
        <x:v>Independent perturbation groups</x:v>
      </x:c>
      <x:c r="B10" s="63" t="n">
        <x:f>COUNTA('Active groups'!$A$5:$A$10)</x:f>
        <x:v>6</x:v>
      </x:c>
      <x:c r="C10" s="59" t="str">
        <x:v>groups</x:v>
      </x:c>
      <x:c r="D10" s="59" t="str">
        <x:v>Active groups</x:v>
      </x:c>
      <x:c r="E10" s="59" t="str">
        <x:v>Active</x:v>
      </x:c>
      <x:c r="F10" s="59" t="str">
        <x:v>ODP1210 reuses the primary Shatsky group; no independent seventh group.</x:v>
      </x:c>
    </x:row>
    <x:row r="11" ht="15" hidden="0" customHeight="1">
      <x:c r="A11" s="60" t="str">
        <x:v>Active measurements</x:v>
      </x:c>
      <x:c r="B11" s="64" t="n">
        <x:f>SUM('Record parameters'!$I$5:$I$74)</x:f>
        <x:v>8843</x:v>
      </x:c>
      <x:c r="C11" s="60" t="str">
        <x:v>measurements</x:v>
      </x:c>
      <x:c r="D11" s="60" t="str">
        <x:v>active_measurements</x:v>
      </x:c>
      <x:c r="E11" s="60" t="str">
        <x:v>Active</x:v>
      </x:c>
      <x:c r="F11" s="60" t="str">
        <x:v>Coverage refers only to record-/group-specific sensitivity, not common systematic coverage.</x:v>
      </x:c>
    </x:row>
    <x:row r="12" ht="15" hidden="0" customHeight="1">
      <x:c r="A12" s="59" t="str">
        <x:v>Active measurement coverage</x:v>
      </x:c>
      <x:c r="B12" s="65" t="n">
        <x:f>B11/B6</x:f>
        <x:v>0.8127010385074901</x:v>
      </x:c>
      <x:c r="C12" s="59" t="str">
        <x:v>fraction of 10,881</x:v>
      </x:c>
      <x:c r="D12" s="59" t="str">
        <x:v>B11/B6</x:v>
      </x:c>
      <x:c r="E12" s="59" t="str">
        <x:v>Active</x:v>
      </x:c>
      <x:c r="F12" s="59" t="str">
        <x:v>Expected 8,843 / 10,881 = 81.27%.</x:v>
      </x:c>
    </x:row>
    <x:row r="13" ht="15" hidden="0" customHeight="1">
      <x:c r="A13" s="60" t="str">
        <x:v>Records remaining fixed</x:v>
      </x:c>
      <x:c r="B13" s="64" t="n">
        <x:f>COUNTIF('Record parameters'!$K$5:$K$74,"Fixed")</x:f>
        <x:v>32</x:v>
      </x:c>
      <x:c r="C13" s="60" t="str">
        <x:v>records</x:v>
      </x:c>
      <x:c r="D13" s="60" t="str">
        <x:v>scenario_role</x:v>
      </x:c>
      <x:c r="E13" s="60" t="str">
        <x:v>Fixed</x:v>
      </x:c>
      <x:c r="F13" s="60" t="str">
        <x:v>Fixed is a coverage limitation, not zero chronology uncertainty.</x:v>
      </x:c>
    </x:row>
    <x:row r="14" ht="15" hidden="0" customHeight="1">
      <x:c r="A14" s="59" t="str">
        <x:v>Measurements remaining fixed</x:v>
      </x:c>
      <x:c r="B14" s="63" t="n">
        <x:f>SUM('Record parameters'!$J$5:$J$74)</x:f>
        <x:v>2038</x:v>
      </x:c>
      <x:c r="C14" s="59" t="str">
        <x:v>measurements</x:v>
      </x:c>
      <x:c r="D14" s="59" t="str">
        <x:v>fixed_measurements</x:v>
      </x:c>
      <x:c r="E14" s="59" t="str">
        <x:v>Fixed</x:v>
      </x:c>
      <x:c r="F14" s="59" t="str">
        <x:v>Common systematic, structural, unsupported or pooled chronology.</x:v>
      </x:c>
    </x:row>
    <x:row r="15" ht="15" hidden="0" customHeight="1">
      <x:c r="A15" s="61" t="str">
        <x:v>Simulation run</x:v>
      </x:c>
      <x:c r="B15" s="61" t="str">
        <x:v>No</x:v>
      </x:c>
      <x:c r="C15" s="61" t="str">
        <x:v>—</x:v>
      </x:c>
      <x:c r="D15" s="61" t="str">
        <x:v>No simulation</x:v>
      </x:c>
      <x:c r="E15" s="61" t="str">
        <x:v>STOPPED</x:v>
      </x:c>
      <x:c r="F15" s="61" t="str">
        <x:v>No ages, bins, IQRs or EV values changed.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6" hidden="0" customWidth="1"/>
    <x:col min="3" max="3" width="31" hidden="0" customWidth="1"/>
    <x:col min="4" max="4" width="42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30" hidden="0" customWidth="1"/>
    <x:col min="10" max="10" width="38" hidden="0" customWidth="1"/>
    <x:col min="11" max="11" width="52" hidden="0" customWidth="1"/>
    <x:col min="12" max="12" width="62" hidden="0" customWidth="1"/>
    <x:col min="13" max="13" width="76" hidden="0" customWidth="1"/>
    <x:col min="14" max="14" width="64" hidden="0" customWidth="1"/>
  </x:cols>
  <x:sheetData>
    <x:row r="1" ht="30" customHeight="1">
      <x:c r="A1" s="3" t="str">
        <x:v>Chronology Layer B — independent perturbation groups</x:v>
      </x:c>
    </x:row>
    <x:row r="2" ht="44" customHeight="1">
      <x:c r="A2" s="7" t="str">
        <x:v>Thirty-eight active operational records collapse to six independent chronology groups. ODP1210 shares the ODP1209/Shatsky draw; the three ODP690 records share one post-boundary segment shift.</x:v>
      </x:c>
    </x:row>
    <x:row r="4" ht="48" customHeight="1">
      <x:c r="A4" s="16" t="str">
        <x:v>perturbation_group_id</x:v>
      </x:c>
      <x:c r="B4" s="17" t="str">
        <x:v>scenario_role</x:v>
      </x:c>
      <x:c r="C4" s="17" t="str">
        <x:v>site</x:v>
      </x:c>
      <x:c r="D4" s="17" t="str">
        <x:v>chronology_method_class</x:v>
      </x:c>
      <x:c r="E4" s="17" t="str">
        <x:v>record_count</x:v>
      </x:c>
      <x:c r="F4" s="17" t="str">
        <x:v>measurement_count</x:v>
      </x:c>
      <x:c r="G4" s="17" t="str">
        <x:v>bound_min_kyr</x:v>
      </x:c>
      <x:c r="H4" s="17" t="str">
        <x:v>bound_max_kyr</x:v>
      </x:c>
      <x:c r="I4" s="17" t="str">
        <x:v>distribution</x:v>
      </x:c>
      <x:c r="J4" s="17" t="str">
        <x:v>perturbation_structure</x:v>
      </x:c>
      <x:c r="K4" s="17" t="str">
        <x:v>applicable_interval</x:v>
      </x:c>
      <x:c r="L4" s="17" t="str">
        <x:v>group_correlation_rule</x:v>
      </x:c>
      <x:c r="M4" s="17" t="str">
        <x:v>bound_basis</x:v>
      </x:c>
      <x:c r="N4" s="18" t="str">
        <x:v>source_URL</x:v>
      </x:c>
    </x:row>
    <x:row r="5" ht="15" hidden="0" customHeight="1">
      <x:c r="A5" s="29" t="str">
        <x:v>CHR-P1-ODP1209-SHATSKY</x:v>
      </x:c>
      <x:c r="B5" s="29" t="str">
        <x:v>Primary group expanded by Layer B</x:v>
      </x:c>
      <x:c r="C5" s="29" t="str">
        <x:v>ODP Sites 1209 and 1210, Shatsky Rise</x:v>
      </x:c>
      <x:c r="D5" s="29" t="str">
        <x:v>Astronomical/cyclostratigraphic tuning</x:v>
      </x:c>
      <x:c r="E5" s="33" t="n">
        <x:f>COUNTIF('Record parameters'!$M$5:$M$74,A5)</x:f>
        <x:v>18</x:v>
      </x:c>
      <x:c r="F5" s="33" t="n">
        <x:f>SUMIF('Record parameters'!$M$5:$M$74,A5,'Record parameters'!$E$5:$E$74)</x:f>
        <x:v>2931</x:v>
      </x:c>
      <x:c r="G5" s="33" t="n">
        <x:v>-87</x:v>
      </x:c>
      <x:c r="H5" s="33" t="n">
        <x:v>87</x:v>
      </x:c>
      <x:c r="I5" s="29" t="str">
        <x:v>Bounded Uniform(-87,+87 kyr)</x:v>
      </x:c>
      <x:c r="J5" s="29" t="str">
        <x:v>shared chronology-group whole-record shift</x:v>
      </x:c>
      <x:c r="K5" s="29" t="str">
        <x:v>Whole retained records</x:v>
      </x:c>
      <x:c r="L5" s="29" t="str">
        <x:v>One Shatsky draw shared by all 1209 and 1210 members; ODP1210 is not independent.</x:v>
      </x:c>
      <x:c r="M5" s="29" t="str">
        <x:v>Direct 1209 mismatch plus low-confidence same-framework extension to 1210</x:v>
      </x:c>
      <x:c r="N5" s="29" t="str">
        <x:v>https://www.theqstorm.org/data/aay5055_hull_sm.pdf</x:v>
      </x:c>
    </x:row>
    <x:row r="6" ht="15" hidden="0" customHeight="1">
      <x:c r="A6" s="30" t="str">
        <x:v>CHR-P2-U1403</x:v>
      </x:c>
      <x:c r="B6" s="30" t="str">
        <x:v>Primary retained</x:v>
      </x:c>
      <x:c r="C6" s="30" t="str">
        <x:v>IODP Site U1403</x:v>
      </x:c>
      <x:c r="D6" s="30" t="str">
        <x:v>Astronomical/cyclostratigraphic tuning</x:v>
      </x:c>
      <x:c r="E6" s="34" t="n">
        <x:f>COUNTIF('Record parameters'!$M$5:$M$74,A6)</x:f>
        <x:v>3</x:v>
      </x:c>
      <x:c r="F6" s="34" t="n">
        <x:f>SUMIF('Record parameters'!$M$5:$M$74,A6,'Record parameters'!$E$5:$E$74)</x:f>
        <x:v>1249</x:v>
      </x:c>
      <x:c r="G6" s="34" t="n">
        <x:v>-37</x:v>
      </x:c>
      <x:c r="H6" s="34" t="n">
        <x:v>37</x:v>
      </x:c>
      <x:c r="I6" s="30" t="str">
        <x:v>Bounded Uniform(-37,+37 kyr)</x:v>
      </x:c>
      <x:c r="J6" s="30" t="str">
        <x:v>shared chronology-group whole-record shift</x:v>
      </x:c>
      <x:c r="K6" s="30" t="str">
        <x:v>Whole retained records</x:v>
      </x:c>
      <x:c r="L6" s="30" t="str">
        <x:v>One U1403 draw shared by stable-isotope and Os records.</x:v>
      </x:c>
      <x:c r="M6" s="30" t="str">
        <x:v>Direct site-specific mismatch</x:v>
      </x:c>
      <x:c r="N6" s="30" t="str">
        <x:v>https://www.theqstorm.org/data/aay5055_hull_sm.pdf</x:v>
      </x:c>
    </x:row>
    <x:row r="7" ht="15" hidden="0" customHeight="1">
      <x:c r="A7" s="31" t="str">
        <x:v>CHR-P3-SEYMOUR</x:v>
      </x:c>
      <x:c r="B7" s="31" t="str">
        <x:v>Primary retained</x:v>
      </x:c>
      <x:c r="C7" s="31" t="str">
        <x:v>Seymour Island</x:v>
      </x:c>
      <x:c r="D7" s="31" t="str">
        <x:v>Magnetostratigraphy + K–Pg tie-point section model</x:v>
      </x:c>
      <x:c r="E7" s="35" t="n">
        <x:f>COUNTIF('Record parameters'!$M$5:$M$74,A7)</x:f>
        <x:v>5</x:v>
      </x:c>
      <x:c r="F7" s="35" t="n">
        <x:f>SUMIF('Record parameters'!$M$5:$M$74,A7,'Record parameters'!$E$5:$E$74)</x:f>
        <x:v>133</x:v>
      </x:c>
      <x:c r="G7" s="35" t="n">
        <x:v>-40</x:v>
      </x:c>
      <x:c r="H7" s="35" t="n">
        <x:v>40</x:v>
      </x:c>
      <x:c r="I7" s="31" t="str">
        <x:v>Bounded Uniform(-40,+40 kyr)</x:v>
      </x:c>
      <x:c r="J7" s="31" t="str">
        <x:v>shared chronology-group whole-record shift</x:v>
      </x:c>
      <x:c r="K7" s="31" t="str">
        <x:v>Whole retained section</x:v>
      </x:c>
      <x:c r="L7" s="31" t="str">
        <x:v>One Seymour draw shared by all five proxy records.</x:v>
      </x:c>
      <x:c r="M7" s="31" t="str">
        <x:v>Record/site-specific conservative derivation</x:v>
      </x:c>
      <x:c r="N7" s="31" t="str">
        <x:v>https://doi.org/10.1038/ncomms12079</x:v>
      </x:c>
    </x:row>
    <x:row r="8" ht="19.200000762939453" hidden="0" customHeight="1">
      <x:c r="A8" s="30" t="str">
        <x:v>CHR-B1-ODP1262</x:v>
      </x:c>
      <x:c r="B8" s="30" t="str">
        <x:v>Layer B added</x:v>
      </x:c>
      <x:c r="C8" s="30" t="str">
        <x:v>ODP Site 1262</x:v>
      </x:c>
      <x:c r="D8" s="30" t="str">
        <x:v>Astronomical/cyclostratigraphic tuning</x:v>
      </x:c>
      <x:c r="E8" s="34" t="n">
        <x:f>COUNTIF('Record parameters'!$M$5:$M$74,A8)</x:f>
        <x:v>6</x:v>
      </x:c>
      <x:c r="F8" s="34" t="n">
        <x:f>SUMIF('Record parameters'!$M$5:$M$74,A8,'Record parameters'!$E$5:$E$74)</x:f>
        <x:v>3527</x:v>
      </x:c>
      <x:c r="G8" s="34" t="n">
        <x:v>-40</x:v>
      </x:c>
      <x:c r="H8" s="34" t="n">
        <x:v>40</x:v>
      </x:c>
      <x:c r="I8" s="30" t="str">
        <x:v>Bounded Uniform(-40,+40 kyr)</x:v>
      </x:c>
      <x:c r="J8" s="30" t="str">
        <x:v>shared chronology-group whole-record shift</x:v>
      </x:c>
      <x:c r="K8" s="30" t="str">
        <x:v>Whole retained records</x:v>
      </x:c>
      <x:c r="L8" s="30" t="str">
        <x:v>One site-level draw shared by all six ODP1262 records.</x:v>
      </x:c>
      <x:c r="M8" s="30" t="str">
        <x:v>Method-based one-cycle tuning ambiguity; ±50 kyr remains expanded-only</x:v>
      </x:c>
      <x:c r="N8" s="30" t="str">
        <x:v>https://doi.org/10.1002/2014PA002762
https://doi.org/10.1016/j.epsl.2014.08.027</x:v>
      </x:c>
    </x:row>
    <x:row r="9" ht="19.200000762939453" hidden="0" customHeight="1">
      <x:c r="A9" s="31" t="str">
        <x:v>CHR-B2-ODP1267</x:v>
      </x:c>
      <x:c r="B9" s="31" t="str">
        <x:v>Layer B added</x:v>
      </x:c>
      <x:c r="C9" s="31" t="str">
        <x:v>ODP Site 1267</x:v>
      </x:c>
      <x:c r="D9" s="31" t="str">
        <x:v>Astronomical/cyclostratigraphic tuning</x:v>
      </x:c>
      <x:c r="E9" s="35" t="n">
        <x:f>COUNTIF('Record parameters'!$M$5:$M$74,A9)</x:f>
        <x:v>3</x:v>
      </x:c>
      <x:c r="F9" s="35" t="n">
        <x:f>SUMIF('Record parameters'!$M$5:$M$74,A9,'Record parameters'!$E$5:$E$74)</x:f>
        <x:v>828</x:v>
      </x:c>
      <x:c r="G9" s="35" t="n">
        <x:v>-40</x:v>
      </x:c>
      <x:c r="H9" s="35" t="n">
        <x:v>40</x:v>
      </x:c>
      <x:c r="I9" s="31" t="str">
        <x:v>Bounded Uniform(-40,+40 kyr)</x:v>
      </x:c>
      <x:c r="J9" s="31" t="str">
        <x:v>shared chronology-group whole-record shift</x:v>
      </x:c>
      <x:c r="K9" s="31" t="str">
        <x:v>Whole retained records</x:v>
      </x:c>
      <x:c r="L9" s="31" t="str">
        <x:v>One site-level draw shared by all three ODP1267 records.</x:v>
      </x:c>
      <x:c r="M9" s="31" t="str">
        <x:v>Method-based one-cycle tuning ambiguity; ±50 kyr remains expanded-only</x:v>
      </x:c>
      <x:c r="N9" s="31" t="str">
        <x:v>https://doi.org/10.1002/2014PA002762
https://doi.org/10.1016/j.epsl.2014.08.027</x:v>
      </x:c>
    </x:row>
    <x:row r="10" ht="15" hidden="0" customHeight="1">
      <x:c r="A10" s="32" t="str">
        <x:v>CHR-B3-ODP690-POSTKPG</x:v>
      </x:c>
      <x:c r="B10" s="32" t="str">
        <x:v>Layer B added</x:v>
      </x:c>
      <x:c r="C10" s="32" t="str">
        <x:v>ODP Site 690</x:v>
      </x:c>
      <x:c r="D10" s="32" t="str">
        <x:v>Magneto-/biostratigraphy with interval-specific truncation</x:v>
      </x:c>
      <x:c r="E10" s="36" t="n">
        <x:f>COUNTIF('Record parameters'!$M$5:$M$74,A10)</x:f>
        <x:v>3</x:v>
      </x:c>
      <x:c r="F10" s="36" t="n">
        <x:f>SUMIF('Record parameters'!$M$5:$M$74,A10,'Record parameters'!$E$5:$E$74)</x:f>
        <x:v>175</x:v>
      </x:c>
      <x:c r="G10" s="36" t="n">
        <x:v>-200</x:v>
      </x:c>
      <x:c r="H10" s="36" t="n">
        <x:v>0</x:v>
      </x:c>
      <x:c r="I10" s="32" t="str">
        <x:v>Bounded Uniform(-200,0 kyr)</x:v>
      </x:c>
      <x:c r="J10" s="32" t="str">
        <x:v>shared segment-correlated shift</x:v>
      </x:c>
      <x:c r="K10" s="32" t="str">
        <x:v>Post-K–Pg/Danian observations only (Age &lt; 66.016 Ma)</x:v>
      </x:c>
      <x:c r="L10" s="32" t="str">
        <x:v>One asymmetric post-boundary segment shift shared by all three ODP690 records; pre-K–Pg ages fixed.</x:v>
      </x:c>
      <x:c r="M10" s="32" t="str">
        <x:v>Direct source upper bound on post-boundary age overestimation; not a hiatus-duration distribution</x:v>
      </x:c>
      <x:c r="N10" s="32" t="str">
        <x:v>https://www-odp.tamu.edu/publications/113_SR/VOLUME/CHAPTERS/sr113_48.pdf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25" hidden="0" customWidth="1"/>
    <x:col min="4" max="4" width="22" hidden="0" customWidth="1"/>
    <x:col min="5" max="5" width="14" hidden="0" customWidth="1"/>
    <x:col min="6" max="6" width="43" hidden="0" customWidth="1"/>
    <x:col min="7" max="7" width="62" hidden="0" customWidth="1"/>
    <x:col min="8" max="8" width="12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28" hidden="0" customWidth="1"/>
    <x:col min="14" max="14" width="38" hidden="0" customWidth="1"/>
    <x:col min="15" max="15" width="15" hidden="0" customWidth="1"/>
    <x:col min="16" max="16" width="15" hidden="0" customWidth="1"/>
    <x:col min="17" max="17" width="11" hidden="0" customWidth="1"/>
    <x:col min="18" max="18" width="29" hidden="0" customWidth="1"/>
    <x:col min="19" max="19" width="52" hidden="0" customWidth="1"/>
    <x:col min="20" max="20" width="62" hidden="0" customWidth="1"/>
    <x:col min="21" max="21" width="38" hidden="0" customWidth="1"/>
    <x:col min="22" max="22" width="76" hidden="0" customWidth="1"/>
    <x:col min="23" max="23" width="58" hidden="0" customWidth="1"/>
    <x:col min="24" max="24" width="64" hidden="0" customWidth="1"/>
    <x:col min="25" max="25" width="37" hidden="0" customWidth="1"/>
    <x:col min="26" max="26" width="54" hidden="0" customWidth="1"/>
    <x:col min="27" max="27" width="62" hidden="0" customWidth="1"/>
  </x:cols>
  <x:sheetData>
    <x:row r="1" ht="30" customHeight="1">
      <x:c r="A1" s="3" t="str">
        <x:v>Chronology Layer B — record-level executable parameters</x:v>
      </x:c>
    </x:row>
    <x:row r="2" ht="44" customHeight="1">
      <x:c r="A2" s="7" t="str">
        <x:v>One row per operational record. Primary 24 records are retained; Layer B adds only method-supported grouped or segment-correlated sensitivities. No age perturbation or simulation has been run.</x:v>
      </x:c>
    </x:row>
    <x:row r="4" ht="48" customHeight="1">
      <x:c r="A4" s="16" t="str">
        <x:v>record_id</x:v>
      </x:c>
      <x:c r="B4" s="17" t="str">
        <x:v>category</x:v>
      </x:c>
      <x:c r="C4" s="17" t="str">
        <x:v>sheet</x:v>
      </x:c>
      <x:c r="D4" s="17" t="str">
        <x:v>material</x:v>
      </x:c>
      <x:c r="E4" s="17" t="str">
        <x:v>n_measurements</x:v>
      </x:c>
      <x:c r="F4" s="17" t="str">
        <x:v>chronology_method_class</x:v>
      </x:c>
      <x:c r="G4" s="17" t="str">
        <x:v>actual_chronology_method</x:v>
      </x:c>
      <x:c r="H4" s="17" t="str">
        <x:v>active_flag</x:v>
      </x:c>
      <x:c r="I4" s="17" t="str">
        <x:v>active_measurements</x:v>
      </x:c>
      <x:c r="J4" s="17" t="str">
        <x:v>fixed_measurements</x:v>
      </x:c>
      <x:c r="K4" s="17" t="str">
        <x:v>scenario_role</x:v>
      </x:c>
      <x:c r="L4" s="17" t="str">
        <x:v>source_chronology_group</x:v>
      </x:c>
      <x:c r="M4" s="17" t="str">
        <x:v>perturbation_group_id</x:v>
      </x:c>
      <x:c r="N4" s="17" t="str">
        <x:v>recommended_perturbation_structure</x:v>
      </x:c>
      <x:c r="O4" s="17" t="str">
        <x:v>bound_min_kyr</x:v>
      </x:c>
      <x:c r="P4" s="17" t="str">
        <x:v>bound_max_kyr</x:v>
      </x:c>
      <x:c r="Q4" s="17" t="str">
        <x:v>bound_unit</x:v>
      </x:c>
      <x:c r="R4" s="17" t="str">
        <x:v>distribution</x:v>
      </x:c>
      <x:c r="S4" s="17" t="str">
        <x:v>applicable_interval</x:v>
      </x:c>
      <x:c r="T4" s="17" t="str">
        <x:v>correlation_rule</x:v>
      </x:c>
      <x:c r="U4" s="17" t="str">
        <x:v>range_evidence_level</x:v>
      </x:c>
      <x:c r="V4" s="17" t="str">
        <x:v>range_basis</x:v>
      </x:c>
      <x:c r="W4" s="17" t="str">
        <x:v>chronology_sources</x:v>
      </x:c>
      <x:c r="X4" s="17" t="str">
        <x:v>common_systematic_separation</x:v>
      </x:c>
      <x:c r="Y4" s="17" t="str">
        <x:v>execution_status</x:v>
      </x:c>
      <x:c r="Z4" s="17" t="str">
        <x:v>fixed_reason</x:v>
      </x:c>
      <x:c r="AA4" s="18" t="str">
        <x:v>source_URL_or_audit_path</x:v>
      </x:c>
    </x:row>
    <x:row r="5" ht="15" hidden="0" customHeight="1">
      <x:c r="A5" s="29" t="str">
        <x:v>d13C::IODP U1403</x:v>
      </x:c>
      <x:c r="B5" s="29" t="str">
        <x:v>d13C</x:v>
      </x:c>
      <x:c r="C5" s="29" t="str">
        <x:v>IODP U1403</x:v>
      </x:c>
      <x:c r="D5" s="29" t="str">
        <x:v>bulk carbonate</x:v>
      </x:c>
      <x:c r="E5" s="33" t="n">
        <x:v>612</x:v>
      </x:c>
      <x:c r="F5" s="33" t="str">
        <x:v>Astronomical/cyclostratigraphic tuning</x:v>
      </x:c>
      <x:c r="G5" s="33" t="str">
        <x:v>Maastrichtian cyclostratigraphy joined to a Danian 405-kyr tuning correlated to Site 1209; K–Pg anchor</x:v>
      </x:c>
      <x:c r="H5" s="33" t="n">
        <x:v>1</x:v>
      </x:c>
      <x:c r="I5" s="33" t="n">
        <x:f>IF(H5=1,E5,0)</x:f>
        <x:v>612</x:v>
      </x:c>
      <x:c r="J5" s="33" t="n">
        <x:f>IF(H5=0,E5,0)</x:f>
        <x:v>0</x:v>
      </x:c>
      <x:c r="K5" s="29" t="str">
        <x:v>Primary retained</x:v>
      </x:c>
      <x:c r="L5" s="29" t="str">
        <x:v>chronology::IODP_U1403</x:v>
      </x:c>
      <x:c r="M5" s="29" t="str">
        <x:v>CHR-P2-U1403</x:v>
      </x:c>
      <x:c r="N5" s="29" t="str">
        <x:v>shared chronology-group whole-record shift</x:v>
      </x:c>
      <x:c r="O5" s="33" t="n">
        <x:v>-37</x:v>
      </x:c>
      <x:c r="P5" s="33" t="n">
        <x:v>37</x:v>
      </x:c>
      <x:c r="Q5" s="29" t="str">
        <x:v>kyr</x:v>
      </x:c>
      <x:c r="R5" s="29" t="str">
        <x:v>Bounded Uniform(-37,+37 kyr)</x:v>
      </x:c>
      <x:c r="S5" s="29" t="str">
        <x:v>Whole retained record</x:v>
      </x:c>
      <x:c r="T5" s="29" t="str">
        <x:v>One common ΔU1403 for all stable-isotope and Os members.</x:v>
      </x:c>
      <x:c r="U5" s="29" t="str">
        <x:v>Direct site-specific empirical mismatch / conservative bound</x:v>
      </x:c>
      <x:c r="V5" s="29" t="str">
        <x:v>Published ~37-kyr Walvis–U1403 timing mismatch; used as a conservative bound, not a formal probability interval.</x:v>
      </x:c>
      <x:c r="W5" s="29" t="str">
        <x:v>Batenburg et al. (2018); Hull et al. (2020)</x:v>
      </x:c>
      <x:c r="X5" s="29" t="str">
        <x:v>Common absolute-timescale and shared target-solution systematics are excluded from record-specific Layer B coverage.</x:v>
      </x:c>
      <x:c r="Y5" s="29" t="str">
        <x:v>Executable</x:v>
      </x:c>
      <x:c r="Z5" s="29" t="str"/>
      <x:c r="AA5" s="29" t="str">
        <x:v>https://www.theqstorm.org/data/aay5055_hull_sm.pdf</x:v>
      </x:c>
    </x:row>
    <x:row r="6" ht="19.200000762939453" hidden="0" customHeight="1">
      <x:c r="A6" s="30" t="str">
        <x:v>d13C::Nanxiong Basin</x:v>
      </x:c>
      <x:c r="B6" s="30" t="str">
        <x:v>d13C</x:v>
      </x:c>
      <x:c r="C6" s="30" t="str">
        <x:v>Nanxiong Basin</x:v>
      </x:c>
      <x:c r="D6" s="30" t="str">
        <x:v>Pedogenic carbonate</x:v>
      </x:c>
      <x:c r="E6" s="34" t="n">
        <x:v>64</x:v>
      </x:c>
      <x:c r="F6" s="34" t="str">
        <x:v>Mixed terrestrial radiometric/magneto-/biostratigraphic chronology</x:v>
      </x:c>
      <x:c r="G6" s="34" t="str">
        <x:v>Integrated terrestrial lithostratigraphic, biostratigraphic, and magnetostratigraphic calibration</x:v>
      </x:c>
      <x:c r="H6" s="34" t="n">
        <x:v>0</x:v>
      </x:c>
      <x:c r="I6" s="34" t="n">
        <x:f>IF(H6=1,E6,0)</x:f>
        <x:v>0</x:v>
      </x:c>
      <x:c r="J6" s="34" t="n">
        <x:f>IF(H6=0,E6,0)</x:f>
        <x:v>64</x:v>
      </x:c>
      <x:c r="K6" s="30" t="str">
        <x:v>Fixed</x:v>
      </x:c>
      <x:c r="L6" s="30" t="str">
        <x:v>chronology::Nanxiong_Basin</x:v>
      </x:c>
      <x:c r="M6" s="30" t="str"/>
      <x:c r="N6" s="30" t="str">
        <x:v>fixed</x:v>
      </x:c>
      <x:c r="O6" s="34"/>
      <x:c r="P6" s="34"/>
      <x:c r="Q6" s="30" t="str">
        <x:v>kyr</x:v>
      </x:c>
      <x:c r="R6" s="30" t="str">
        <x:v>Not randomized</x:v>
      </x:c>
      <x:c r="S6" s="30" t="str">
        <x:v>Not applicable</x:v>
      </x:c>
      <x:c r="T6" s="30" t="str">
        <x:v>Retain central ages until source-specific control-point bounds or alternative models are available.</x:v>
      </x:c>
      <x:c r="U6" s="30" t="str">
        <x:v>Method identified; no defensible transferable quantitative local range</x:v>
      </x:c>
      <x:c r="V6" s="30" t="str">
        <x:v>Method literature requires record-specific reversal/event depths, dated-horizon errors, local sedimentation constraints or alternative correlations; these cannot be inferred from the retained age sequence.</x:v>
      </x:c>
      <x:c r="W6" s="30" t="str">
        <x:v>Ma/Wang et al. (2024) and cited Zhao et al. (1991), Erben et al. (1995), Zhang et al. (2006), Clyde et al. (2010), Li et al. (2010), Zhang &amp; Li (2010), Tong et al. (2013)</x:v>
      </x:c>
      <x:c r="X6" s="30" t="str">
        <x:v>Common absolute-timescale and shared target-solution systematics are excluded from record-specific Layer B coverage.</x:v>
      </x:c>
      <x:c r="Y6" s="30" t="str">
        <x:v>Fixed</x:v>
      </x:c>
      <x:c r="Z6" s="30" t="str">
        <x:v>Method identifiable but quantitative local controls remain unavailable</x:v>
      </x:c>
      <x:c r="AA6" s="30" t="str">
        <x:v>https://doi.org/10.1016/j.palaeo.2024.112177</x:v>
      </x:c>
    </x:row>
    <x:row r="7" ht="19.200000762939453" hidden="0" customHeight="1">
      <x:c r="A7" s="31" t="str">
        <x:v>d13C::ODP1209</x:v>
      </x:c>
      <x:c r="B7" s="31" t="str">
        <x:v>d13C</x:v>
      </x:c>
      <x:c r="C7" s="31" t="str">
        <x:v>ODP1209</x:v>
      </x:c>
      <x:c r="D7" s="31" t="str">
        <x:v>bulk forams</x:v>
      </x:c>
      <x:c r="E7" s="35" t="n">
        <x:v>93</x:v>
      </x:c>
      <x:c r="F7" s="35" t="str">
        <x:v>Astronomical/cyclostratigraphic tuning</x:v>
      </x:c>
      <x:c r="G7" s="35" t="str">
        <x:v>Cyclostratigraphic/astronomical tuning with 405-kyr eccentricity framework and K–Pg anchor; latest Maastrichtian extension</x:v>
      </x:c>
      <x:c r="H7" s="35" t="n">
        <x:v>1</x:v>
      </x:c>
      <x:c r="I7" s="35" t="n">
        <x:f>IF(H7=1,E7,0)</x:f>
        <x:v>93</x:v>
      </x:c>
      <x:c r="J7" s="35" t="n">
        <x:f>IF(H7=0,E7,0)</x:f>
        <x:v>0</x:v>
      </x:c>
      <x:c r="K7" s="31" t="str">
        <x:v>Primary retained</x:v>
      </x:c>
      <x:c r="L7" s="31" t="str">
        <x:v>chronology::ODP1209_shared</x:v>
      </x:c>
      <x:c r="M7" s="31" t="str">
        <x:v>CHR-P1-ODP1209-SHATSKY</x:v>
      </x:c>
      <x:c r="N7" s="31" t="str">
        <x:v>shared chronology-group whole-record shift</x:v>
      </x:c>
      <x:c r="O7" s="35" t="n">
        <x:v>-87</x:v>
      </x:c>
      <x:c r="P7" s="35" t="n">
        <x:v>87</x:v>
      </x:c>
      <x:c r="Q7" s="31" t="str">
        <x:v>kyr</x:v>
      </x:c>
      <x:c r="R7" s="31" t="str">
        <x:v>Bounded Uniform(-87,+87 kyr)</x:v>
      </x:c>
      <x:c r="S7" s="31" t="str">
        <x:v>Whole retained record</x:v>
      </x:c>
      <x:c r="T7" s="31" t="str">
        <x:v>One common ΔShatsky for every ODP 1209 member; ODP 1210 Layer B members reuse the same draw.</x:v>
      </x:c>
      <x:c r="U7" s="31" t="str">
        <x:v>Direct site-specific empirical mismatch / conservative bound</x:v>
      </x:c>
      <x:c r="V7" s="31" t="str">
        <x:v>Published ~87-kyr Shatsky–Walvis mismatch; retained as a conservative site-level stress bound, not a confidence interval.</x:v>
      </x:c>
      <x:c r="W7" s="31" t="str">
        <x:v>Dinarès-Turell et al. (2014); Westerhold et al. (2011); Woelders et al. (2017); Hull et al. (2020)</x:v>
      </x:c>
      <x:c r="X7" s="31" t="str">
        <x:v>Common absolute-timescale and shared target-solution systematics are excluded from record-specific Layer B coverage.</x:v>
      </x:c>
      <x:c r="Y7" s="31" t="str">
        <x:v>Executable</x:v>
      </x:c>
      <x:c r="Z7" s="31" t="str"/>
      <x:c r="AA7" s="31" t="str">
        <x:v>https://www.theqstorm.org/data/aay5055_hull_sm.pdf</x:v>
      </x:c>
    </x:row>
    <x:row r="8" ht="19.200000762939453" hidden="0" customHeight="1">
      <x:c r="A8" s="30" t="str">
        <x:v>d13C::ODP1209 2</x:v>
      </x:c>
      <x:c r="B8" s="30" t="str">
        <x:v>d13C</x:v>
      </x:c>
      <x:c r="C8" s="30" t="str">
        <x:v>ODP1209 2</x:v>
      </x:c>
      <x:c r="D8" s="30" t="str">
        <x:v>bulk</x:v>
      </x:c>
      <x:c r="E8" s="34" t="n">
        <x:v>665</x:v>
      </x:c>
      <x:c r="F8" s="34" t="str">
        <x:v>Astronomical/cyclostratigraphic tuning</x:v>
      </x:c>
      <x:c r="G8" s="34" t="str">
        <x:v>Cyclostratigraphic/astronomical tuning with 405-kyr eccentricity framework and K–Pg anchor; latest Maastrichtian extension</x:v>
      </x:c>
      <x:c r="H8" s="34" t="n">
        <x:v>1</x:v>
      </x:c>
      <x:c r="I8" s="34" t="n">
        <x:f>IF(H8=1,E8,0)</x:f>
        <x:v>665</x:v>
      </x:c>
      <x:c r="J8" s="34" t="n">
        <x:f>IF(H8=0,E8,0)</x:f>
        <x:v>0</x:v>
      </x:c>
      <x:c r="K8" s="30" t="str">
        <x:v>Primary retained</x:v>
      </x:c>
      <x:c r="L8" s="30" t="str">
        <x:v>chronology::ODP1209_shared</x:v>
      </x:c>
      <x:c r="M8" s="30" t="str">
        <x:v>CHR-P1-ODP1209-SHATSKY</x:v>
      </x:c>
      <x:c r="N8" s="30" t="str">
        <x:v>shared chronology-group whole-record shift</x:v>
      </x:c>
      <x:c r="O8" s="34" t="n">
        <x:v>-87</x:v>
      </x:c>
      <x:c r="P8" s="34" t="n">
        <x:v>87</x:v>
      </x:c>
      <x:c r="Q8" s="30" t="str">
        <x:v>kyr</x:v>
      </x:c>
      <x:c r="R8" s="30" t="str">
        <x:v>Bounded Uniform(-87,+87 kyr)</x:v>
      </x:c>
      <x:c r="S8" s="30" t="str">
        <x:v>Whole retained record</x:v>
      </x:c>
      <x:c r="T8" s="30" t="str">
        <x:v>One common ΔShatsky for every ODP 1209 member; ODP 1210 Layer B members reuse the same draw.</x:v>
      </x:c>
      <x:c r="U8" s="30" t="str">
        <x:v>Direct site-specific empirical mismatch / conservative bound</x:v>
      </x:c>
      <x:c r="V8" s="30" t="str">
        <x:v>Published ~87-kyr Shatsky–Walvis mismatch; retained as a conservative site-level stress bound, not a confidence interval.</x:v>
      </x:c>
      <x:c r="W8" s="30" t="str">
        <x:v>Dinarès-Turell et al. (2014); Westerhold et al. (2011); Woelders et al. (2017); Hull et al. (2020)</x:v>
      </x:c>
      <x:c r="X8" s="30" t="str">
        <x:v>Common absolute-timescale and shared target-solution systematics are excluded from record-specific Layer B coverage.</x:v>
      </x:c>
      <x:c r="Y8" s="30" t="str">
        <x:v>Executable</x:v>
      </x:c>
      <x:c r="Z8" s="30" t="str"/>
      <x:c r="AA8" s="30" t="str">
        <x:v>https://www.theqstorm.org/data/aay5055_hull_sm.pdf</x:v>
      </x:c>
    </x:row>
    <x:row r="9" ht="19.200000762939453" hidden="0" customHeight="1">
      <x:c r="A9" s="31" t="str">
        <x:v>d13C::ODP1209 3</x:v>
      </x:c>
      <x:c r="B9" s="31" t="str">
        <x:v>d13C</x:v>
      </x:c>
      <x:c r="C9" s="31" t="str">
        <x:v>ODP1209 3</x:v>
      </x:c>
      <x:c r="D9" s="31" t="str">
        <x:v>Woodringina</x:v>
      </x:c>
      <x:c r="E9" s="35" t="n">
        <x:v>32</x:v>
      </x:c>
      <x:c r="F9" s="35" t="str">
        <x:v>Astronomical/cyclostratigraphic tuning</x:v>
      </x:c>
      <x:c r="G9" s="35" t="str">
        <x:v>Cyclostratigraphic/astronomical tuning with 405-kyr eccentricity framework and K–Pg anchor; latest Maastrichtian extension</x:v>
      </x:c>
      <x:c r="H9" s="35" t="n">
        <x:v>1</x:v>
      </x:c>
      <x:c r="I9" s="35" t="n">
        <x:f>IF(H9=1,E9,0)</x:f>
        <x:v>32</x:v>
      </x:c>
      <x:c r="J9" s="35" t="n">
        <x:f>IF(H9=0,E9,0)</x:f>
        <x:v>0</x:v>
      </x:c>
      <x:c r="K9" s="31" t="str">
        <x:v>Primary retained</x:v>
      </x:c>
      <x:c r="L9" s="31" t="str">
        <x:v>chronology::ODP1209_shared</x:v>
      </x:c>
      <x:c r="M9" s="31" t="str">
        <x:v>CHR-P1-ODP1209-SHATSKY</x:v>
      </x:c>
      <x:c r="N9" s="31" t="str">
        <x:v>shared chronology-group whole-record shift</x:v>
      </x:c>
      <x:c r="O9" s="35" t="n">
        <x:v>-87</x:v>
      </x:c>
      <x:c r="P9" s="35" t="n">
        <x:v>87</x:v>
      </x:c>
      <x:c r="Q9" s="31" t="str">
        <x:v>kyr</x:v>
      </x:c>
      <x:c r="R9" s="31" t="str">
        <x:v>Bounded Uniform(-87,+87 kyr)</x:v>
      </x:c>
      <x:c r="S9" s="31" t="str">
        <x:v>Whole retained record</x:v>
      </x:c>
      <x:c r="T9" s="31" t="str">
        <x:v>One common ΔShatsky for every ODP 1209 member; ODP 1210 Layer B members reuse the same draw.</x:v>
      </x:c>
      <x:c r="U9" s="31" t="str">
        <x:v>Direct site-specific empirical mismatch / conservative bound</x:v>
      </x:c>
      <x:c r="V9" s="31" t="str">
        <x:v>Published ~87-kyr Shatsky–Walvis mismatch; retained as a conservative site-level stress bound, not a confidence interval.</x:v>
      </x:c>
      <x:c r="W9" s="31" t="str">
        <x:v>Dinarès-Turell et al. (2014); Westerhold et al. (2011); Woelders et al. (2017); Hull et al. (2020)</x:v>
      </x:c>
      <x:c r="X9" s="31" t="str">
        <x:v>Common absolute-timescale and shared target-solution systematics are excluded from record-specific Layer B coverage.</x:v>
      </x:c>
      <x:c r="Y9" s="31" t="str">
        <x:v>Executable</x:v>
      </x:c>
      <x:c r="Z9" s="31" t="str"/>
      <x:c r="AA9" s="31" t="str">
        <x:v>https://www.theqstorm.org/data/aay5055_hull_sm.pdf</x:v>
      </x:c>
    </x:row>
    <x:row r="10" ht="19.200000762939453" hidden="0" customHeight="1">
      <x:c r="A10" s="30" t="str">
        <x:v>d13C::ODP1209 4</x:v>
      </x:c>
      <x:c r="B10" s="30" t="str">
        <x:v>d13C</x:v>
      </x:c>
      <x:c r="C10" s="30" t="str">
        <x:v>ODP1209 4</x:v>
      </x:c>
      <x:c r="D10" s="30" t="str">
        <x:v>P. inconstans | P. pseudoinconstans | P. taurica | P. uncinata</x:v>
      </x:c>
      <x:c r="E10" s="34" t="n">
        <x:v>105</x:v>
      </x:c>
      <x:c r="F10" s="34" t="str">
        <x:v>Astronomical/cyclostratigraphic tuning</x:v>
      </x:c>
      <x:c r="G10" s="34" t="str">
        <x:v>Cyclostratigraphic/astronomical tuning with 405-kyr eccentricity framework and K–Pg anchor; latest Maastrichtian extension</x:v>
      </x:c>
      <x:c r="H10" s="34" t="n">
        <x:v>1</x:v>
      </x:c>
      <x:c r="I10" s="34" t="n">
        <x:f>IF(H10=1,E10,0)</x:f>
        <x:v>105</x:v>
      </x:c>
      <x:c r="J10" s="34" t="n">
        <x:f>IF(H10=0,E10,0)</x:f>
        <x:v>0</x:v>
      </x:c>
      <x:c r="K10" s="30" t="str">
        <x:v>Primary retained</x:v>
      </x:c>
      <x:c r="L10" s="30" t="str">
        <x:v>chronology::ODP1209_shared</x:v>
      </x:c>
      <x:c r="M10" s="30" t="str">
        <x:v>CHR-P1-ODP1209-SHATSKY</x:v>
      </x:c>
      <x:c r="N10" s="30" t="str">
        <x:v>shared chronology-group whole-record shift</x:v>
      </x:c>
      <x:c r="O10" s="34" t="n">
        <x:v>-87</x:v>
      </x:c>
      <x:c r="P10" s="34" t="n">
        <x:v>87</x:v>
      </x:c>
      <x:c r="Q10" s="30" t="str">
        <x:v>kyr</x:v>
      </x:c>
      <x:c r="R10" s="30" t="str">
        <x:v>Bounded Uniform(-87,+87 kyr)</x:v>
      </x:c>
      <x:c r="S10" s="30" t="str">
        <x:v>Whole retained record</x:v>
      </x:c>
      <x:c r="T10" s="30" t="str">
        <x:v>One common ΔShatsky for every ODP 1209 member; ODP 1210 Layer B members reuse the same draw.</x:v>
      </x:c>
      <x:c r="U10" s="30" t="str">
        <x:v>Direct site-specific empirical mismatch / conservative bound</x:v>
      </x:c>
      <x:c r="V10" s="30" t="str">
        <x:v>Published ~87-kyr Shatsky–Walvis mismatch; retained as a conservative site-level stress bound, not a confidence interval.</x:v>
      </x:c>
      <x:c r="W10" s="30" t="str">
        <x:v>Dinarès-Turell et al. (2014); Westerhold et al. (2011); Woelders et al. (2017); Hull et al. (2020)</x:v>
      </x:c>
      <x:c r="X10" s="30" t="str">
        <x:v>Common absolute-timescale and shared target-solution systematics are excluded from record-specific Layer B coverage.</x:v>
      </x:c>
      <x:c r="Y10" s="30" t="str">
        <x:v>Executable</x:v>
      </x:c>
      <x:c r="Z10" s="30" t="str"/>
      <x:c r="AA10" s="30" t="str">
        <x:v>https://www.theqstorm.org/data/aay5055_hull_sm.pdf</x:v>
      </x:c>
    </x:row>
    <x:row r="11" ht="19.200000762939453" hidden="0" customHeight="1">
      <x:c r="A11" s="31" t="str">
        <x:v>d13C::ODP1209 5</x:v>
      </x:c>
      <x:c r="B11" s="31" t="str">
        <x:v>d13C</x:v>
      </x:c>
      <x:c r="C11" s="31" t="str">
        <x:v>ODP1209 5</x:v>
      </x:c>
      <x:c r="D11" s="31" t="str">
        <x:v>Planktonic foraminifera</x:v>
      </x:c>
      <x:c r="E11" s="35" t="n">
        <x:v>60</x:v>
      </x:c>
      <x:c r="F11" s="35" t="str">
        <x:v>Astronomical/cyclostratigraphic tuning</x:v>
      </x:c>
      <x:c r="G11" s="35" t="str">
        <x:v>Cyclostratigraphic/astronomical tuning with 405-kyr eccentricity framework and K–Pg anchor; latest Maastrichtian extension</x:v>
      </x:c>
      <x:c r="H11" s="35" t="n">
        <x:v>1</x:v>
      </x:c>
      <x:c r="I11" s="35" t="n">
        <x:f>IF(H11=1,E11,0)</x:f>
        <x:v>60</x:v>
      </x:c>
      <x:c r="J11" s="35" t="n">
        <x:f>IF(H11=0,E11,0)</x:f>
        <x:v>0</x:v>
      </x:c>
      <x:c r="K11" s="31" t="str">
        <x:v>Primary retained</x:v>
      </x:c>
      <x:c r="L11" s="31" t="str">
        <x:v>chronology::ODP1209_shared</x:v>
      </x:c>
      <x:c r="M11" s="31" t="str">
        <x:v>CHR-P1-ODP1209-SHATSKY</x:v>
      </x:c>
      <x:c r="N11" s="31" t="str">
        <x:v>shared chronology-group whole-record shift</x:v>
      </x:c>
      <x:c r="O11" s="35" t="n">
        <x:v>-87</x:v>
      </x:c>
      <x:c r="P11" s="35" t="n">
        <x:v>87</x:v>
      </x:c>
      <x:c r="Q11" s="31" t="str">
        <x:v>kyr</x:v>
      </x:c>
      <x:c r="R11" s="31" t="str">
        <x:v>Bounded Uniform(-87,+87 kyr)</x:v>
      </x:c>
      <x:c r="S11" s="31" t="str">
        <x:v>Whole retained record</x:v>
      </x:c>
      <x:c r="T11" s="31" t="str">
        <x:v>One common ΔShatsky for every ODP 1209 member; ODP 1210 Layer B members reuse the same draw.</x:v>
      </x:c>
      <x:c r="U11" s="31" t="str">
        <x:v>Direct site-specific empirical mismatch / conservative bound</x:v>
      </x:c>
      <x:c r="V11" s="31" t="str">
        <x:v>Published ~87-kyr Shatsky–Walvis mismatch; retained as a conservative site-level stress bound, not a confidence interval.</x:v>
      </x:c>
      <x:c r="W11" s="31" t="str">
        <x:v>Dinarès-Turell et al. (2014); Westerhold et al. (2011); Woelders et al. (2017); Hull et al. (2020)</x:v>
      </x:c>
      <x:c r="X11" s="31" t="str">
        <x:v>Common absolute-timescale and shared target-solution systematics are excluded from record-specific Layer B coverage.</x:v>
      </x:c>
      <x:c r="Y11" s="31" t="str">
        <x:v>Executable</x:v>
      </x:c>
      <x:c r="Z11" s="31" t="str"/>
      <x:c r="AA11" s="31" t="str">
        <x:v>https://www.theqstorm.org/data/aay5055_hull_sm.pdf</x:v>
      </x:c>
    </x:row>
    <x:row r="12" ht="19.200000762939453" hidden="0" customHeight="1">
      <x:c r="A12" s="30" t="str">
        <x:v>d13C::ODP1209 6</x:v>
      </x:c>
      <x:c r="B12" s="30" t="str">
        <x:v>d13C</x:v>
      </x:c>
      <x:c r="C12" s="30" t="str">
        <x:v>ODP1209 6</x:v>
      </x:c>
      <x:c r="D12" s="30" t="str">
        <x:v>Benthic foraminifera</x:v>
      </x:c>
      <x:c r="E12" s="34" t="n">
        <x:v>292</x:v>
      </x:c>
      <x:c r="F12" s="34" t="str">
        <x:v>Astronomical/cyclostratigraphic tuning</x:v>
      </x:c>
      <x:c r="G12" s="34" t="str">
        <x:v>Cyclostratigraphic/astronomical tuning with 405-kyr eccentricity framework and K–Pg anchor; latest Maastrichtian extension</x:v>
      </x:c>
      <x:c r="H12" s="34" t="n">
        <x:v>1</x:v>
      </x:c>
      <x:c r="I12" s="34" t="n">
        <x:f>IF(H12=1,E12,0)</x:f>
        <x:v>292</x:v>
      </x:c>
      <x:c r="J12" s="34" t="n">
        <x:f>IF(H12=0,E12,0)</x:f>
        <x:v>0</x:v>
      </x:c>
      <x:c r="K12" s="30" t="str">
        <x:v>Primary retained</x:v>
      </x:c>
      <x:c r="L12" s="30" t="str">
        <x:v>chronology::ODP1209_shared</x:v>
      </x:c>
      <x:c r="M12" s="30" t="str">
        <x:v>CHR-P1-ODP1209-SHATSKY</x:v>
      </x:c>
      <x:c r="N12" s="30" t="str">
        <x:v>shared chronology-group whole-record shift</x:v>
      </x:c>
      <x:c r="O12" s="34" t="n">
        <x:v>-87</x:v>
      </x:c>
      <x:c r="P12" s="34" t="n">
        <x:v>87</x:v>
      </x:c>
      <x:c r="Q12" s="30" t="str">
        <x:v>kyr</x:v>
      </x:c>
      <x:c r="R12" s="30" t="str">
        <x:v>Bounded Uniform(-87,+87 kyr)</x:v>
      </x:c>
      <x:c r="S12" s="30" t="str">
        <x:v>Whole retained record</x:v>
      </x:c>
      <x:c r="T12" s="30" t="str">
        <x:v>One common ΔShatsky for every ODP 1209 member; ODP 1210 Layer B members reuse the same draw.</x:v>
      </x:c>
      <x:c r="U12" s="30" t="str">
        <x:v>Direct site-specific empirical mismatch / conservative bound</x:v>
      </x:c>
      <x:c r="V12" s="30" t="str">
        <x:v>Published ~87-kyr Shatsky–Walvis mismatch; retained as a conservative site-level stress bound, not a confidence interval.</x:v>
      </x:c>
      <x:c r="W12" s="30" t="str">
        <x:v>Dinarès-Turell et al. (2014); Westerhold et al. (2011); Woelders et al. (2017); Hull et al. (2020)</x:v>
      </x:c>
      <x:c r="X12" s="30" t="str">
        <x:v>Common absolute-timescale and shared target-solution systematics are excluded from record-specific Layer B coverage.</x:v>
      </x:c>
      <x:c r="Y12" s="30" t="str">
        <x:v>Executable</x:v>
      </x:c>
      <x:c r="Z12" s="30" t="str"/>
      <x:c r="AA12" s="30" t="str">
        <x:v>https://www.theqstorm.org/data/aay5055_hull_sm.pdf</x:v>
      </x:c>
    </x:row>
    <x:row r="13" ht="19.200000762939453" hidden="0" customHeight="1">
      <x:c r="A13" s="31" t="str">
        <x:v>d13C::ODP1262</x:v>
      </x:c>
      <x:c r="B13" s="31" t="str">
        <x:v>d13C</x:v>
      </x:c>
      <x:c r="C13" s="31" t="str">
        <x:v>ODP1262</x:v>
      </x:c>
      <x:c r="D13" s="31" t="str">
        <x:v>benthic foraminifera</x:v>
      </x:c>
      <x:c r="E13" s="35" t="n">
        <x:v>779</x:v>
      </x:c>
      <x:c r="F13" s="35" t="str">
        <x:v>Astronomical/cyclostratigraphic tuning</x:v>
      </x:c>
      <x:c r="G13" s="35" t="str">
        <x:v>405-kyr orbital tuning correlated to La2010b, with published tie points and K–Pg anchor</x:v>
      </x:c>
      <x:c r="H13" s="35" t="n">
        <x:v>1</x:v>
      </x:c>
      <x:c r="I13" s="35" t="n">
        <x:f>IF(H13=1,E13,0)</x:f>
        <x:v>779</x:v>
      </x:c>
      <x:c r="J13" s="35" t="n">
        <x:f>IF(H13=0,E13,0)</x:f>
        <x:v>0</x:v>
      </x:c>
      <x:c r="K13" s="31" t="str">
        <x:v>Layer B added</x:v>
      </x:c>
      <x:c r="L13" s="31" t="str">
        <x:v>chronology::ODP1262_shared</x:v>
      </x:c>
      <x:c r="M13" s="31" t="str">
        <x:v>CHR-B1-ODP1262</x:v>
      </x:c>
      <x:c r="N13" s="31" t="str">
        <x:v>shared chronology-group whole-record shift</x:v>
      </x:c>
      <x:c r="O13" s="35" t="n">
        <x:v>-40</x:v>
      </x:c>
      <x:c r="P13" s="35" t="n">
        <x:v>40</x:v>
      </x:c>
      <x:c r="Q13" s="31" t="str">
        <x:v>kyr</x:v>
      </x:c>
      <x:c r="R13" s="31" t="str">
        <x:v>Bounded Uniform(-40,+40 kyr)</x:v>
      </x:c>
      <x:c r="S13" s="31" t="str">
        <x:v>Whole retained record</x:v>
      </x:c>
      <x:c r="T13" s="31" t="str">
        <x:v>One common Δ1262 for all six operational records; preserve all within-site age spacing.</x:v>
      </x:c>
      <x:c r="U13" s="31" t="str">
        <x:v>Method-based one-cycle tuning ambiguity</x:v>
      </x:c>
      <x:c r="V13" s="31" t="str">
        <x:v>No local probability distribution is reported. Method literature supports ~20-kyr precession and ~40-kyr obliquity cycle ambiguity; ±40 kyr is used as the conservative bounded Layer B range. The ±50-kyr stress bound remains expanded-only.</x:v>
      </x:c>
      <x:c r="W13" s="31" t="str">
        <x:v>Dinarès-Turell et al. (2014); Barnet et al. (2019); Woelders et al. (2017); Hull et al. (2020)</x:v>
      </x:c>
      <x:c r="X13" s="31" t="str">
        <x:v>Common absolute-timescale and shared target-solution systematics are excluded from record-specific Layer B coverage.</x:v>
      </x:c>
      <x:c r="Y13" s="31" t="str">
        <x:v>Executable as method-based sensitivity</x:v>
      </x:c>
      <x:c r="Z13" s="31" t="str"/>
      <x:c r="AA13" s="31" t="str">
        <x:v>https://doi.org/10.1002/2014PA002762
https://doi.org/10.1016/j.epsl.2014.08.027</x:v>
      </x:c>
    </x:row>
    <x:row r="14" ht="19.200000762939453" hidden="0" customHeight="1">
      <x:c r="A14" s="30" t="str">
        <x:v>d13C::ODP1262 2</x:v>
      </x:c>
      <x:c r="B14" s="30" t="str">
        <x:v>d13C</x:v>
      </x:c>
      <x:c r="C14" s="30" t="str">
        <x:v>ODP1262 2</x:v>
      </x:c>
      <x:c r="D14" s="30" t="str">
        <x:v>bulk carbonate</x:v>
      </x:c>
      <x:c r="E14" s="34" t="n">
        <x:v>915</x:v>
      </x:c>
      <x:c r="F14" s="34" t="str">
        <x:v>Astronomical/cyclostratigraphic tuning</x:v>
      </x:c>
      <x:c r="G14" s="34" t="str">
        <x:v>405-kyr orbital tuning correlated to La2010b, with published tie points and K–Pg anchor</x:v>
      </x:c>
      <x:c r="H14" s="34" t="n">
        <x:v>1</x:v>
      </x:c>
      <x:c r="I14" s="34" t="n">
        <x:f>IF(H14=1,E14,0)</x:f>
        <x:v>915</x:v>
      </x:c>
      <x:c r="J14" s="34" t="n">
        <x:f>IF(H14=0,E14,0)</x:f>
        <x:v>0</x:v>
      </x:c>
      <x:c r="K14" s="30" t="str">
        <x:v>Layer B added</x:v>
      </x:c>
      <x:c r="L14" s="30" t="str">
        <x:v>chronology::ODP1262_shared</x:v>
      </x:c>
      <x:c r="M14" s="30" t="str">
        <x:v>CHR-B1-ODP1262</x:v>
      </x:c>
      <x:c r="N14" s="30" t="str">
        <x:v>shared chronology-group whole-record shift</x:v>
      </x:c>
      <x:c r="O14" s="34" t="n">
        <x:v>-40</x:v>
      </x:c>
      <x:c r="P14" s="34" t="n">
        <x:v>40</x:v>
      </x:c>
      <x:c r="Q14" s="30" t="str">
        <x:v>kyr</x:v>
      </x:c>
      <x:c r="R14" s="30" t="str">
        <x:v>Bounded Uniform(-40,+40 kyr)</x:v>
      </x:c>
      <x:c r="S14" s="30" t="str">
        <x:v>Whole retained record</x:v>
      </x:c>
      <x:c r="T14" s="30" t="str">
        <x:v>One common Δ1262 for all six operational records; preserve all within-site age spacing.</x:v>
      </x:c>
      <x:c r="U14" s="30" t="str">
        <x:v>Method-based one-cycle tuning ambiguity</x:v>
      </x:c>
      <x:c r="V14" s="30" t="str">
        <x:v>No local probability distribution is reported. Method literature supports ~20-kyr precession and ~40-kyr obliquity cycle ambiguity; ±40 kyr is used as the conservative bounded Layer B range. The ±50-kyr stress bound remains expanded-only.</x:v>
      </x:c>
      <x:c r="W14" s="30" t="str">
        <x:v>Dinarès-Turell et al. (2014); Barnet et al. (2019); Woelders et al. (2017); Hull et al. (2020)</x:v>
      </x:c>
      <x:c r="X14" s="30" t="str">
        <x:v>Common absolute-timescale and shared target-solution systematics are excluded from record-specific Layer B coverage.</x:v>
      </x:c>
      <x:c r="Y14" s="30" t="str">
        <x:v>Executable as method-based sensitivity</x:v>
      </x:c>
      <x:c r="Z14" s="30" t="str"/>
      <x:c r="AA14" s="30" t="str">
        <x:v>https://doi.org/10.1002/2014PA002762
https://doi.org/10.1016/j.epsl.2014.08.027</x:v>
      </x:c>
    </x:row>
    <x:row r="15" ht="19.200000762939453" hidden="0" customHeight="1">
      <x:c r="A15" s="31" t="str">
        <x:v>d13C::ODP1267</x:v>
      </x:c>
      <x:c r="B15" s="31" t="str">
        <x:v>d13C</x:v>
      </x:c>
      <x:c r="C15" s="31" t="str">
        <x:v>ODP1267</x:v>
      </x:c>
      <x:c r="D15" s="31" t="str">
        <x:v>bulk carbonate</x:v>
      </x:c>
      <x:c r="E15" s="35" t="n">
        <x:v>381</x:v>
      </x:c>
      <x:c r="F15" s="35" t="str">
        <x:v>Astronomical/cyclostratigraphic tuning</x:v>
      </x:c>
      <x:c r="G15" s="35" t="str">
        <x:v>Astronomically calibrated Danian/cyclostratigraphic framework linked to Walvis Ridge and K–Pg anchor</x:v>
      </x:c>
      <x:c r="H15" s="35" t="n">
        <x:v>1</x:v>
      </x:c>
      <x:c r="I15" s="35" t="n">
        <x:f>IF(H15=1,E15,0)</x:f>
        <x:v>381</x:v>
      </x:c>
      <x:c r="J15" s="35" t="n">
        <x:f>IF(H15=0,E15,0)</x:f>
        <x:v>0</x:v>
      </x:c>
      <x:c r="K15" s="31" t="str">
        <x:v>Layer B added</x:v>
      </x:c>
      <x:c r="L15" s="31" t="str">
        <x:v>chronology::ODP1267_shared</x:v>
      </x:c>
      <x:c r="M15" s="31" t="str">
        <x:v>CHR-B2-ODP1267</x:v>
      </x:c>
      <x:c r="N15" s="31" t="str">
        <x:v>shared chronology-group whole-record shift</x:v>
      </x:c>
      <x:c r="O15" s="35" t="n">
        <x:v>-40</x:v>
      </x:c>
      <x:c r="P15" s="35" t="n">
        <x:v>40</x:v>
      </x:c>
      <x:c r="Q15" s="31" t="str">
        <x:v>kyr</x:v>
      </x:c>
      <x:c r="R15" s="31" t="str">
        <x:v>Bounded Uniform(-40,+40 kyr)</x:v>
      </x:c>
      <x:c r="S15" s="31" t="str">
        <x:v>Whole retained record</x:v>
      </x:c>
      <x:c r="T15" s="31" t="str">
        <x:v>One common Δ1267 for all three operational records; preserve all within-site age spacing.</x:v>
      </x:c>
      <x:c r="U15" s="31" t="str">
        <x:v>Method-based one-cycle tuning ambiguity</x:v>
      </x:c>
      <x:c r="V15" s="31" t="str">
        <x:v>No local probability distribution is reported. Method literature supports ~20-kyr precession and ~40-kyr obliquity cycle ambiguity; ±40 kyr is used as the conservative bounded Layer B range. The ±50-kyr stress bound remains expanded-only.</x:v>
      </x:c>
      <x:c r="W15" s="31" t="str">
        <x:v>Dinarès-Turell et al. (2014); Hull et al. (2020)</x:v>
      </x:c>
      <x:c r="X15" s="31" t="str">
        <x:v>Common absolute-timescale and shared target-solution systematics are excluded from record-specific Layer B coverage.</x:v>
      </x:c>
      <x:c r="Y15" s="31" t="str">
        <x:v>Executable as method-based sensitivity</x:v>
      </x:c>
      <x:c r="Z15" s="31" t="str"/>
      <x:c r="AA15" s="31" t="str">
        <x:v>https://doi.org/10.1002/2014PA002762
https://doi.org/10.1016/j.epsl.2014.08.027</x:v>
      </x:c>
    </x:row>
    <x:row r="16" ht="19.200000762939453" hidden="0" customHeight="1">
      <x:c r="A16" s="30" t="str">
        <x:v>d13C::Songliao Basin</x:v>
      </x:c>
      <x:c r="B16" s="30" t="str">
        <x:v>d13C</x:v>
      </x:c>
      <x:c r="C16" s="30" t="str">
        <x:v>Songliao Basin</x:v>
      </x:c>
      <x:c r="D16" s="30" t="str">
        <x:v>pedogenic carbonate</x:v>
      </x:c>
      <x:c r="E16" s="34" t="n">
        <x:v>126</x:v>
      </x:c>
      <x:c r="F16" s="34" t="str">
        <x:v>Mixed terrestrial radiometric/magneto-/biostratigraphic chronology</x:v>
      </x:c>
      <x:c r="G16" s="34" t="str">
        <x:v>Integrated high-resolution magnetostratigraphy, lithostratigraphy, biostratigraphy, and SIMS U–Pb controls</x:v>
      </x:c>
      <x:c r="H16" s="34" t="n">
        <x:v>0</x:v>
      </x:c>
      <x:c r="I16" s="34" t="n">
        <x:f>IF(H16=1,E16,0)</x:f>
        <x:v>0</x:v>
      </x:c>
      <x:c r="J16" s="34" t="n">
        <x:f>IF(H16=0,E16,0)</x:f>
        <x:v>126</x:v>
      </x:c>
      <x:c r="K16" s="30" t="str">
        <x:v>Fixed</x:v>
      </x:c>
      <x:c r="L16" s="30" t="str">
        <x:v>chronology::Songliao_Basin</x:v>
      </x:c>
      <x:c r="M16" s="30" t="str"/>
      <x:c r="N16" s="30" t="str">
        <x:v>fixed</x:v>
      </x:c>
      <x:c r="O16" s="34"/>
      <x:c r="P16" s="34"/>
      <x:c r="Q16" s="30" t="str">
        <x:v>kyr</x:v>
      </x:c>
      <x:c r="R16" s="30" t="str">
        <x:v>Not randomized</x:v>
      </x:c>
      <x:c r="S16" s="30" t="str">
        <x:v>Not applicable</x:v>
      </x:c>
      <x:c r="T16" s="30" t="str">
        <x:v>Retain central ages until source-specific control-point bounds or alternative models are available.</x:v>
      </x:c>
      <x:c r="U16" s="30" t="str">
        <x:v>Method identified; no defensible transferable quantitative local range</x:v>
      </x:c>
      <x:c r="V16" s="30" t="str">
        <x:v>Method literature requires record-specific reversal/event depths, dated-horizon errors, local sedimentation constraints or alternative correlations; these cannot be inferred from the retained age sequence.</x:v>
      </x:c>
      <x:c r="W16" s="30" t="str">
        <x:v>Deng et al. (2013); He et al. (2012); Zhang et al. (2018)</x:v>
      </x:c>
      <x:c r="X16" s="30" t="str">
        <x:v>Common absolute-timescale and shared target-solution systematics are excluded from record-specific Layer B coverage.</x:v>
      </x:c>
      <x:c r="Y16" s="30" t="str">
        <x:v>Fixed</x:v>
      </x:c>
      <x:c r="Z16" s="30" t="str">
        <x:v>Method identifiable but quantitative local controls remain unavailable</x:v>
      </x:c>
      <x:c r="AA16" s="30" t="str">
        <x:v>See record-specific chronology sources in the source audit</x:v>
      </x:c>
    </x:row>
    <x:row r="17" ht="19.200000762939453" hidden="0" customHeight="1">
      <x:c r="A17" s="31" t="str">
        <x:v>d13C::Songliao Basin 2</x:v>
      </x:c>
      <x:c r="B17" s="31" t="str">
        <x:v>d13C</x:v>
      </x:c>
      <x:c r="C17" s="31" t="str">
        <x:v>Songliao Basin 2</x:v>
      </x:c>
      <x:c r="D17" s="31" t="str">
        <x:v>Ostracod shell</x:v>
      </x:c>
      <x:c r="E17" s="35" t="n">
        <x:v>32</x:v>
      </x:c>
      <x:c r="F17" s="35" t="str">
        <x:v>Mixed terrestrial radiometric/magneto-/biostratigraphic chronology</x:v>
      </x:c>
      <x:c r="G17" s="35" t="str">
        <x:v>Songliao integrated magnetostratigraphic/radiometric framework applied to the Chamberlain series</x:v>
      </x:c>
      <x:c r="H17" s="35" t="n">
        <x:v>0</x:v>
      </x:c>
      <x:c r="I17" s="35" t="n">
        <x:f>IF(H17=1,E17,0)</x:f>
        <x:v>0</x:v>
      </x:c>
      <x:c r="J17" s="35" t="n">
        <x:f>IF(H17=0,E17,0)</x:f>
        <x:v>32</x:v>
      </x:c>
      <x:c r="K17" s="31" t="str">
        <x:v>Fixed</x:v>
      </x:c>
      <x:c r="L17" s="31" t="str">
        <x:v>chronology::Songliao_Basin_2</x:v>
      </x:c>
      <x:c r="M17" s="31" t="str"/>
      <x:c r="N17" s="31" t="str">
        <x:v>fixed</x:v>
      </x:c>
      <x:c r="O17" s="35"/>
      <x:c r="P17" s="35"/>
      <x:c r="Q17" s="31" t="str">
        <x:v>kyr</x:v>
      </x:c>
      <x:c r="R17" s="31" t="str">
        <x:v>Not randomized</x:v>
      </x:c>
      <x:c r="S17" s="31" t="str">
        <x:v>Not applicable</x:v>
      </x:c>
      <x:c r="T17" s="31" t="str">
        <x:v>Retain central ages until source-specific control-point bounds or alternative models are available.</x:v>
      </x:c>
      <x:c r="U17" s="31" t="str">
        <x:v>Method identified; no defensible transferable quantitative local range</x:v>
      </x:c>
      <x:c r="V17" s="31" t="str">
        <x:v>Method literature requires record-specific reversal/event depths, dated-horizon errors, local sedimentation constraints or alternative correlations; these cannot be inferred from the retained age sequence.</x:v>
      </x:c>
      <x:c r="W17" s="31" t="str">
        <x:v>Chamberlain et al. (2013); Deng et al. (2013); He et al. (2012)</x:v>
      </x:c>
      <x:c r="X17" s="31" t="str">
        <x:v>Common absolute-timescale and shared target-solution systematics are excluded from record-specific Layer B coverage.</x:v>
      </x:c>
      <x:c r="Y17" s="31" t="str">
        <x:v>Fixed</x:v>
      </x:c>
      <x:c r="Z17" s="31" t="str">
        <x:v>Method identifiable but quantitative local controls remain unavailable</x:v>
      </x:c>
      <x:c r="AA17" s="31" t="str">
        <x:v>See record-specific chronology sources in the source audit</x:v>
      </x:c>
    </x:row>
    <x:row r="18" ht="19.200000762939453" hidden="0" customHeight="1">
      <x:c r="A18" s="30" t="str">
        <x:v>d18O::DSDP465</x:v>
      </x:c>
      <x:c r="B18" s="30" t="str">
        <x:v>d18O</x:v>
      </x:c>
      <x:c r="C18" s="30" t="str">
        <x:v>DSDP465</x:v>
      </x:c>
      <x:c r="D18" s="30" t="str">
        <x:v>Benthic foraminifera</x:v>
      </x:c>
      <x:c r="E18" s="34" t="n">
        <x:v>21</x:v>
      </x:c>
      <x:c r="F18" s="34" t="str">
        <x:v>Magnetostratigraphy/biostratigraphy without quantitative local bounds</x:v>
      </x:c>
      <x:c r="G18" s="34" t="str">
        <x:v>Biostratigraphic K–Pg-relative age assignment updated to the common timescale</x:v>
      </x:c>
      <x:c r="H18" s="34" t="n">
        <x:v>0</x:v>
      </x:c>
      <x:c r="I18" s="34" t="n">
        <x:f>IF(H18=1,E18,0)</x:f>
        <x:v>0</x:v>
      </x:c>
      <x:c r="J18" s="34" t="n">
        <x:f>IF(H18=0,E18,0)</x:f>
        <x:v>21</x:v>
      </x:c>
      <x:c r="K18" s="30" t="str">
        <x:v>Fixed</x:v>
      </x:c>
      <x:c r="L18" s="30" t="str">
        <x:v>chronology::DSDP465</x:v>
      </x:c>
      <x:c r="M18" s="30" t="str"/>
      <x:c r="N18" s="30" t="str">
        <x:v>fixed</x:v>
      </x:c>
      <x:c r="O18" s="34"/>
      <x:c r="P18" s="34"/>
      <x:c r="Q18" s="30" t="str">
        <x:v>kyr</x:v>
      </x:c>
      <x:c r="R18" s="30" t="str">
        <x:v>Not randomized</x:v>
      </x:c>
      <x:c r="S18" s="30" t="str">
        <x:v>Not applicable</x:v>
      </x:c>
      <x:c r="T18" s="30" t="str">
        <x:v>Retain central ages until source-specific control-point bounds or alternative models are available.</x:v>
      </x:c>
      <x:c r="U18" s="30" t="str">
        <x:v>Method identified; no defensible transferable quantitative local range</x:v>
      </x:c>
      <x:c r="V18" s="30" t="str">
        <x:v>Method literature requires record-specific reversal/event depths, dated-horizon errors, local sedimentation constraints or alternative correlations; these cannot be inferred from the retained age sequence.</x:v>
      </x:c>
      <x:c r="W18" s="30" t="str">
        <x:v>Alegret et al. (2012) and cited DSDP 465 chronology</x:v>
      </x:c>
      <x:c r="X18" s="30" t="str">
        <x:v>Common absolute-timescale and shared target-solution systematics are excluded from record-specific Layer B coverage.</x:v>
      </x:c>
      <x:c r="Y18" s="30" t="str">
        <x:v>Fixed</x:v>
      </x:c>
      <x:c r="Z18" s="30" t="str">
        <x:v>Method identifiable but quantitative local controls remain unavailable</x:v>
      </x:c>
      <x:c r="AA18" s="30" t="str">
        <x:v>See record-specific chronology sources in the source audit</x:v>
      </x:c>
    </x:row>
    <x:row r="19" ht="15" hidden="0" customHeight="1">
      <x:c r="A19" s="31" t="str">
        <x:v>d18O::IODP U1403</x:v>
      </x:c>
      <x:c r="B19" s="31" t="str">
        <x:v>d18O</x:v>
      </x:c>
      <x:c r="C19" s="31" t="str">
        <x:v>IODP U1403</x:v>
      </x:c>
      <x:c r="D19" s="31" t="str">
        <x:v>bulk carbonate</x:v>
      </x:c>
      <x:c r="E19" s="35" t="n">
        <x:v>612</x:v>
      </x:c>
      <x:c r="F19" s="35" t="str">
        <x:v>Astronomical/cyclostratigraphic tuning</x:v>
      </x:c>
      <x:c r="G19" s="35" t="str">
        <x:v>Maastrichtian cyclostratigraphy joined to a Danian 405-kyr tuning correlated to Site 1209; K–Pg anchor</x:v>
      </x:c>
      <x:c r="H19" s="35" t="n">
        <x:v>1</x:v>
      </x:c>
      <x:c r="I19" s="35" t="n">
        <x:f>IF(H19=1,E19,0)</x:f>
        <x:v>612</x:v>
      </x:c>
      <x:c r="J19" s="35" t="n">
        <x:f>IF(H19=0,E19,0)</x:f>
        <x:v>0</x:v>
      </x:c>
      <x:c r="K19" s="31" t="str">
        <x:v>Primary retained</x:v>
      </x:c>
      <x:c r="L19" s="31" t="str">
        <x:v>chronology::IODP_U1403</x:v>
      </x:c>
      <x:c r="M19" s="31" t="str">
        <x:v>CHR-P2-U1403</x:v>
      </x:c>
      <x:c r="N19" s="31" t="str">
        <x:v>shared chronology-group whole-record shift</x:v>
      </x:c>
      <x:c r="O19" s="35" t="n">
        <x:v>-37</x:v>
      </x:c>
      <x:c r="P19" s="35" t="n">
        <x:v>37</x:v>
      </x:c>
      <x:c r="Q19" s="31" t="str">
        <x:v>kyr</x:v>
      </x:c>
      <x:c r="R19" s="31" t="str">
        <x:v>Bounded Uniform(-37,+37 kyr)</x:v>
      </x:c>
      <x:c r="S19" s="31" t="str">
        <x:v>Whole retained record</x:v>
      </x:c>
      <x:c r="T19" s="31" t="str">
        <x:v>One common ΔU1403 for all stable-isotope and Os members.</x:v>
      </x:c>
      <x:c r="U19" s="31" t="str">
        <x:v>Direct site-specific empirical mismatch / conservative bound</x:v>
      </x:c>
      <x:c r="V19" s="31" t="str">
        <x:v>Published ~37-kyr Walvis–U1403 timing mismatch; used as a conservative bound, not a formal probability interval.</x:v>
      </x:c>
      <x:c r="W19" s="31" t="str">
        <x:v>Batenburg et al. (2018); Hull et al. (2020)</x:v>
      </x:c>
      <x:c r="X19" s="31" t="str">
        <x:v>Common absolute-timescale and shared target-solution systematics are excluded from record-specific Layer B coverage.</x:v>
      </x:c>
      <x:c r="Y19" s="31" t="str">
        <x:v>Executable</x:v>
      </x:c>
      <x:c r="Z19" s="31" t="str"/>
      <x:c r="AA19" s="31" t="str">
        <x:v>https://www.theqstorm.org/data/aay5055_hull_sm.pdf</x:v>
      </x:c>
    </x:row>
    <x:row r="20" ht="19.200000762939453" hidden="0" customHeight="1">
      <x:c r="A20" s="30" t="str">
        <x:v>d18O::Nanxiong Basin</x:v>
      </x:c>
      <x:c r="B20" s="30" t="str">
        <x:v>d18O</x:v>
      </x:c>
      <x:c r="C20" s="30" t="str">
        <x:v>Nanxiong Basin</x:v>
      </x:c>
      <x:c r="D20" s="30" t="str">
        <x:v>Pedogenic carbonate</x:v>
      </x:c>
      <x:c r="E20" s="34" t="n">
        <x:v>64</x:v>
      </x:c>
      <x:c r="F20" s="34" t="str">
        <x:v>Mixed terrestrial radiometric/magneto-/biostratigraphic chronology</x:v>
      </x:c>
      <x:c r="G20" s="34" t="str">
        <x:v>Integrated terrestrial lithostratigraphic, biostratigraphic, and magnetostratigraphic calibration</x:v>
      </x:c>
      <x:c r="H20" s="34" t="n">
        <x:v>0</x:v>
      </x:c>
      <x:c r="I20" s="34" t="n">
        <x:f>IF(H20=1,E20,0)</x:f>
        <x:v>0</x:v>
      </x:c>
      <x:c r="J20" s="34" t="n">
        <x:f>IF(H20=0,E20,0)</x:f>
        <x:v>64</x:v>
      </x:c>
      <x:c r="K20" s="30" t="str">
        <x:v>Fixed</x:v>
      </x:c>
      <x:c r="L20" s="30" t="str">
        <x:v>chronology::Nanxiong_Basin</x:v>
      </x:c>
      <x:c r="M20" s="30" t="str"/>
      <x:c r="N20" s="30" t="str">
        <x:v>fixed</x:v>
      </x:c>
      <x:c r="O20" s="34"/>
      <x:c r="P20" s="34"/>
      <x:c r="Q20" s="30" t="str">
        <x:v>kyr</x:v>
      </x:c>
      <x:c r="R20" s="30" t="str">
        <x:v>Not randomized</x:v>
      </x:c>
      <x:c r="S20" s="30" t="str">
        <x:v>Not applicable</x:v>
      </x:c>
      <x:c r="T20" s="30" t="str">
        <x:v>Retain central ages until source-specific control-point bounds or alternative models are available.</x:v>
      </x:c>
      <x:c r="U20" s="30" t="str">
        <x:v>Method identified; no defensible transferable quantitative local range</x:v>
      </x:c>
      <x:c r="V20" s="30" t="str">
        <x:v>Method literature requires record-specific reversal/event depths, dated-horizon errors, local sedimentation constraints or alternative correlations; these cannot be inferred from the retained age sequence.</x:v>
      </x:c>
      <x:c r="W20" s="30" t="str">
        <x:v>Ma/Wang et al. (2024) and cited Zhao et al. (1991), Erben et al. (1995), Zhang et al. (2006), Clyde et al. (2010), Li et al. (2010), Zhang &amp; Li (2010), Tong et al. (2013)</x:v>
      </x:c>
      <x:c r="X20" s="30" t="str">
        <x:v>Common absolute-timescale and shared target-solution systematics are excluded from record-specific Layer B coverage.</x:v>
      </x:c>
      <x:c r="Y20" s="30" t="str">
        <x:v>Fixed</x:v>
      </x:c>
      <x:c r="Z20" s="30" t="str">
        <x:v>Method identifiable but quantitative local controls remain unavailable</x:v>
      </x:c>
      <x:c r="AA20" s="30" t="str">
        <x:v>https://doi.org/10.1016/j.palaeo.2024.112177</x:v>
      </x:c>
    </x:row>
    <x:row r="21" ht="19.200000762939453" hidden="0" customHeight="1">
      <x:c r="A21" s="31" t="str">
        <x:v>d18O::ODP1209</x:v>
      </x:c>
      <x:c r="B21" s="31" t="str">
        <x:v>d18O</x:v>
      </x:c>
      <x:c r="C21" s="31" t="str">
        <x:v>ODP1209</x:v>
      </x:c>
      <x:c r="D21" s="31" t="str">
        <x:v>bulk forams</x:v>
      </x:c>
      <x:c r="E21" s="35" t="n">
        <x:v>93</x:v>
      </x:c>
      <x:c r="F21" s="35" t="str">
        <x:v>Astronomical/cyclostratigraphic tuning</x:v>
      </x:c>
      <x:c r="G21" s="35" t="str">
        <x:v>Cyclostratigraphic/astronomical tuning with 405-kyr eccentricity framework and K–Pg anchor; latest Maastrichtian extension</x:v>
      </x:c>
      <x:c r="H21" s="35" t="n">
        <x:v>1</x:v>
      </x:c>
      <x:c r="I21" s="35" t="n">
        <x:f>IF(H21=1,E21,0)</x:f>
        <x:v>93</x:v>
      </x:c>
      <x:c r="J21" s="35" t="n">
        <x:f>IF(H21=0,E21,0)</x:f>
        <x:v>0</x:v>
      </x:c>
      <x:c r="K21" s="31" t="str">
        <x:v>Primary retained</x:v>
      </x:c>
      <x:c r="L21" s="31" t="str">
        <x:v>chronology::ODP1209_shared</x:v>
      </x:c>
      <x:c r="M21" s="31" t="str">
        <x:v>CHR-P1-ODP1209-SHATSKY</x:v>
      </x:c>
      <x:c r="N21" s="31" t="str">
        <x:v>shared chronology-group whole-record shift</x:v>
      </x:c>
      <x:c r="O21" s="35" t="n">
        <x:v>-87</x:v>
      </x:c>
      <x:c r="P21" s="35" t="n">
        <x:v>87</x:v>
      </x:c>
      <x:c r="Q21" s="31" t="str">
        <x:v>kyr</x:v>
      </x:c>
      <x:c r="R21" s="31" t="str">
        <x:v>Bounded Uniform(-87,+87 kyr)</x:v>
      </x:c>
      <x:c r="S21" s="31" t="str">
        <x:v>Whole retained record</x:v>
      </x:c>
      <x:c r="T21" s="31" t="str">
        <x:v>One common ΔShatsky for every ODP 1209 member; ODP 1210 Layer B members reuse the same draw.</x:v>
      </x:c>
      <x:c r="U21" s="31" t="str">
        <x:v>Direct site-specific empirical mismatch / conservative bound</x:v>
      </x:c>
      <x:c r="V21" s="31" t="str">
        <x:v>Published ~87-kyr Shatsky–Walvis mismatch; retained as a conservative site-level stress bound, not a confidence interval.</x:v>
      </x:c>
      <x:c r="W21" s="31" t="str">
        <x:v>Dinarès-Turell et al. (2014); Westerhold et al. (2011); Woelders et al. (2017); Hull et al. (2020)</x:v>
      </x:c>
      <x:c r="X21" s="31" t="str">
        <x:v>Common absolute-timescale and shared target-solution systematics are excluded from record-specific Layer B coverage.</x:v>
      </x:c>
      <x:c r="Y21" s="31" t="str">
        <x:v>Executable</x:v>
      </x:c>
      <x:c r="Z21" s="31" t="str"/>
      <x:c r="AA21" s="31" t="str">
        <x:v>https://www.theqstorm.org/data/aay5055_hull_sm.pdf</x:v>
      </x:c>
    </x:row>
    <x:row r="22" ht="19.200000762939453" hidden="0" customHeight="1">
      <x:c r="A22" s="30" t="str">
        <x:v>d18O::ODP1209 2</x:v>
      </x:c>
      <x:c r="B22" s="30" t="str">
        <x:v>d18O</x:v>
      </x:c>
      <x:c r="C22" s="30" t="str">
        <x:v>ODP1209 2</x:v>
      </x:c>
      <x:c r="D22" s="30" t="str">
        <x:v>bulk</x:v>
      </x:c>
      <x:c r="E22" s="34" t="n">
        <x:v>665</x:v>
      </x:c>
      <x:c r="F22" s="34" t="str">
        <x:v>Astronomical/cyclostratigraphic tuning</x:v>
      </x:c>
      <x:c r="G22" s="34" t="str">
        <x:v>Cyclostratigraphic/astronomical tuning with 405-kyr eccentricity framework and K–Pg anchor; latest Maastrichtian extension</x:v>
      </x:c>
      <x:c r="H22" s="34" t="n">
        <x:v>1</x:v>
      </x:c>
      <x:c r="I22" s="34" t="n">
        <x:f>IF(H22=1,E22,0)</x:f>
        <x:v>665</x:v>
      </x:c>
      <x:c r="J22" s="34" t="n">
        <x:f>IF(H22=0,E22,0)</x:f>
        <x:v>0</x:v>
      </x:c>
      <x:c r="K22" s="30" t="str">
        <x:v>Primary retained</x:v>
      </x:c>
      <x:c r="L22" s="30" t="str">
        <x:v>chronology::ODP1209_shared</x:v>
      </x:c>
      <x:c r="M22" s="30" t="str">
        <x:v>CHR-P1-ODP1209-SHATSKY</x:v>
      </x:c>
      <x:c r="N22" s="30" t="str">
        <x:v>shared chronology-group whole-record shift</x:v>
      </x:c>
      <x:c r="O22" s="34" t="n">
        <x:v>-87</x:v>
      </x:c>
      <x:c r="P22" s="34" t="n">
        <x:v>87</x:v>
      </x:c>
      <x:c r="Q22" s="30" t="str">
        <x:v>kyr</x:v>
      </x:c>
      <x:c r="R22" s="30" t="str">
        <x:v>Bounded Uniform(-87,+87 kyr)</x:v>
      </x:c>
      <x:c r="S22" s="30" t="str">
        <x:v>Whole retained record</x:v>
      </x:c>
      <x:c r="T22" s="30" t="str">
        <x:v>One common ΔShatsky for every ODP 1209 member; ODP 1210 Layer B members reuse the same draw.</x:v>
      </x:c>
      <x:c r="U22" s="30" t="str">
        <x:v>Direct site-specific empirical mismatch / conservative bound</x:v>
      </x:c>
      <x:c r="V22" s="30" t="str">
        <x:v>Published ~87-kyr Shatsky–Walvis mismatch; retained as a conservative site-level stress bound, not a confidence interval.</x:v>
      </x:c>
      <x:c r="W22" s="30" t="str">
        <x:v>Dinarès-Turell et al. (2014); Westerhold et al. (2011); Woelders et al. (2017); Hull et al. (2020)</x:v>
      </x:c>
      <x:c r="X22" s="30" t="str">
        <x:v>Common absolute-timescale and shared target-solution systematics are excluded from record-specific Layer B coverage.</x:v>
      </x:c>
      <x:c r="Y22" s="30" t="str">
        <x:v>Executable</x:v>
      </x:c>
      <x:c r="Z22" s="30" t="str"/>
      <x:c r="AA22" s="30" t="str">
        <x:v>https://www.theqstorm.org/data/aay5055_hull_sm.pdf</x:v>
      </x:c>
    </x:row>
    <x:row r="23" ht="19.200000762939453" hidden="0" customHeight="1">
      <x:c r="A23" s="31" t="str">
        <x:v>d18O::ODP1209 3</x:v>
      </x:c>
      <x:c r="B23" s="31" t="str">
        <x:v>d18O</x:v>
      </x:c>
      <x:c r="C23" s="31" t="str">
        <x:v>ODP1209 3</x:v>
      </x:c>
      <x:c r="D23" s="31" t="str">
        <x:v>Woodringina</x:v>
      </x:c>
      <x:c r="E23" s="35" t="n">
        <x:v>32</x:v>
      </x:c>
      <x:c r="F23" s="35" t="str">
        <x:v>Astronomical/cyclostratigraphic tuning</x:v>
      </x:c>
      <x:c r="G23" s="35" t="str">
        <x:v>Cyclostratigraphic/astronomical tuning with 405-kyr eccentricity framework and K–Pg anchor; latest Maastrichtian extension</x:v>
      </x:c>
      <x:c r="H23" s="35" t="n">
        <x:v>1</x:v>
      </x:c>
      <x:c r="I23" s="35" t="n">
        <x:f>IF(H23=1,E23,0)</x:f>
        <x:v>32</x:v>
      </x:c>
      <x:c r="J23" s="35" t="n">
        <x:f>IF(H23=0,E23,0)</x:f>
        <x:v>0</x:v>
      </x:c>
      <x:c r="K23" s="31" t="str">
        <x:v>Primary retained</x:v>
      </x:c>
      <x:c r="L23" s="31" t="str">
        <x:v>chronology::ODP1209_shared</x:v>
      </x:c>
      <x:c r="M23" s="31" t="str">
        <x:v>CHR-P1-ODP1209-SHATSKY</x:v>
      </x:c>
      <x:c r="N23" s="31" t="str">
        <x:v>shared chronology-group whole-record shift</x:v>
      </x:c>
      <x:c r="O23" s="35" t="n">
        <x:v>-87</x:v>
      </x:c>
      <x:c r="P23" s="35" t="n">
        <x:v>87</x:v>
      </x:c>
      <x:c r="Q23" s="31" t="str">
        <x:v>kyr</x:v>
      </x:c>
      <x:c r="R23" s="31" t="str">
        <x:v>Bounded Uniform(-87,+87 kyr)</x:v>
      </x:c>
      <x:c r="S23" s="31" t="str">
        <x:v>Whole retained record</x:v>
      </x:c>
      <x:c r="T23" s="31" t="str">
        <x:v>One common ΔShatsky for every ODP 1209 member; ODP 1210 Layer B members reuse the same draw.</x:v>
      </x:c>
      <x:c r="U23" s="31" t="str">
        <x:v>Direct site-specific empirical mismatch / conservative bound</x:v>
      </x:c>
      <x:c r="V23" s="31" t="str">
        <x:v>Published ~87-kyr Shatsky–Walvis mismatch; retained as a conservative site-level stress bound, not a confidence interval.</x:v>
      </x:c>
      <x:c r="W23" s="31" t="str">
        <x:v>Dinarès-Turell et al. (2014); Westerhold et al. (2011); Woelders et al. (2017); Hull et al. (2020)</x:v>
      </x:c>
      <x:c r="X23" s="31" t="str">
        <x:v>Common absolute-timescale and shared target-solution systematics are excluded from record-specific Layer B coverage.</x:v>
      </x:c>
      <x:c r="Y23" s="31" t="str">
        <x:v>Executable</x:v>
      </x:c>
      <x:c r="Z23" s="31" t="str"/>
      <x:c r="AA23" s="31" t="str">
        <x:v>https://www.theqstorm.org/data/aay5055_hull_sm.pdf</x:v>
      </x:c>
    </x:row>
    <x:row r="24" ht="19.200000762939453" hidden="0" customHeight="1">
      <x:c r="A24" s="30" t="str">
        <x:v>d18O::ODP1209 4</x:v>
      </x:c>
      <x:c r="B24" s="30" t="str">
        <x:v>d18O</x:v>
      </x:c>
      <x:c r="C24" s="30" t="str">
        <x:v>ODP1209 4</x:v>
      </x:c>
      <x:c r="D24" s="30" t="str">
        <x:v>P. inconstans | P. pseudoinconstans | P. taurica | P. uncinata</x:v>
      </x:c>
      <x:c r="E24" s="34" t="n">
        <x:v>105</x:v>
      </x:c>
      <x:c r="F24" s="34" t="str">
        <x:v>Astronomical/cyclostratigraphic tuning</x:v>
      </x:c>
      <x:c r="G24" s="34" t="str">
        <x:v>Cyclostratigraphic/astronomical tuning with 405-kyr eccentricity framework and K–Pg anchor; latest Maastrichtian extension</x:v>
      </x:c>
      <x:c r="H24" s="34" t="n">
        <x:v>1</x:v>
      </x:c>
      <x:c r="I24" s="34" t="n">
        <x:f>IF(H24=1,E24,0)</x:f>
        <x:v>105</x:v>
      </x:c>
      <x:c r="J24" s="34" t="n">
        <x:f>IF(H24=0,E24,0)</x:f>
        <x:v>0</x:v>
      </x:c>
      <x:c r="K24" s="30" t="str">
        <x:v>Primary retained</x:v>
      </x:c>
      <x:c r="L24" s="30" t="str">
        <x:v>chronology::ODP1209_shared</x:v>
      </x:c>
      <x:c r="M24" s="30" t="str">
        <x:v>CHR-P1-ODP1209-SHATSKY</x:v>
      </x:c>
      <x:c r="N24" s="30" t="str">
        <x:v>shared chronology-group whole-record shift</x:v>
      </x:c>
      <x:c r="O24" s="34" t="n">
        <x:v>-87</x:v>
      </x:c>
      <x:c r="P24" s="34" t="n">
        <x:v>87</x:v>
      </x:c>
      <x:c r="Q24" s="30" t="str">
        <x:v>kyr</x:v>
      </x:c>
      <x:c r="R24" s="30" t="str">
        <x:v>Bounded Uniform(-87,+87 kyr)</x:v>
      </x:c>
      <x:c r="S24" s="30" t="str">
        <x:v>Whole retained record</x:v>
      </x:c>
      <x:c r="T24" s="30" t="str">
        <x:v>One common ΔShatsky for every ODP 1209 member; ODP 1210 Layer B members reuse the same draw.</x:v>
      </x:c>
      <x:c r="U24" s="30" t="str">
        <x:v>Direct site-specific empirical mismatch / conservative bound</x:v>
      </x:c>
      <x:c r="V24" s="30" t="str">
        <x:v>Published ~87-kyr Shatsky–Walvis mismatch; retained as a conservative site-level stress bound, not a confidence interval.</x:v>
      </x:c>
      <x:c r="W24" s="30" t="str">
        <x:v>Dinarès-Turell et al. (2014); Westerhold et al. (2011); Woelders et al. (2017); Hull et al. (2020)</x:v>
      </x:c>
      <x:c r="X24" s="30" t="str">
        <x:v>Common absolute-timescale and shared target-solution systematics are excluded from record-specific Layer B coverage.</x:v>
      </x:c>
      <x:c r="Y24" s="30" t="str">
        <x:v>Executable</x:v>
      </x:c>
      <x:c r="Z24" s="30" t="str"/>
      <x:c r="AA24" s="30" t="str">
        <x:v>https://www.theqstorm.org/data/aay5055_hull_sm.pdf</x:v>
      </x:c>
    </x:row>
    <x:row r="25" ht="19.200000762939453" hidden="0" customHeight="1">
      <x:c r="A25" s="31" t="str">
        <x:v>d18O::ODP1209 5</x:v>
      </x:c>
      <x:c r="B25" s="31" t="str">
        <x:v>d18O</x:v>
      </x:c>
      <x:c r="C25" s="31" t="str">
        <x:v>ODP1209 5</x:v>
      </x:c>
      <x:c r="D25" s="31" t="str">
        <x:v>Planktonic foraminifera</x:v>
      </x:c>
      <x:c r="E25" s="35" t="n">
        <x:v>60</x:v>
      </x:c>
      <x:c r="F25" s="35" t="str">
        <x:v>Astronomical/cyclostratigraphic tuning</x:v>
      </x:c>
      <x:c r="G25" s="35" t="str">
        <x:v>Cyclostratigraphic/astronomical tuning with 405-kyr eccentricity framework and K–Pg anchor; latest Maastrichtian extension</x:v>
      </x:c>
      <x:c r="H25" s="35" t="n">
        <x:v>1</x:v>
      </x:c>
      <x:c r="I25" s="35" t="n">
        <x:f>IF(H25=1,E25,0)</x:f>
        <x:v>60</x:v>
      </x:c>
      <x:c r="J25" s="35" t="n">
        <x:f>IF(H25=0,E25,0)</x:f>
        <x:v>0</x:v>
      </x:c>
      <x:c r="K25" s="31" t="str">
        <x:v>Primary retained</x:v>
      </x:c>
      <x:c r="L25" s="31" t="str">
        <x:v>chronology::ODP1209_shared</x:v>
      </x:c>
      <x:c r="M25" s="31" t="str">
        <x:v>CHR-P1-ODP1209-SHATSKY</x:v>
      </x:c>
      <x:c r="N25" s="31" t="str">
        <x:v>shared chronology-group whole-record shift</x:v>
      </x:c>
      <x:c r="O25" s="35" t="n">
        <x:v>-87</x:v>
      </x:c>
      <x:c r="P25" s="35" t="n">
        <x:v>87</x:v>
      </x:c>
      <x:c r="Q25" s="31" t="str">
        <x:v>kyr</x:v>
      </x:c>
      <x:c r="R25" s="31" t="str">
        <x:v>Bounded Uniform(-87,+87 kyr)</x:v>
      </x:c>
      <x:c r="S25" s="31" t="str">
        <x:v>Whole retained record</x:v>
      </x:c>
      <x:c r="T25" s="31" t="str">
        <x:v>One common ΔShatsky for every ODP 1209 member; ODP 1210 Layer B members reuse the same draw.</x:v>
      </x:c>
      <x:c r="U25" s="31" t="str">
        <x:v>Direct site-specific empirical mismatch / conservative bound</x:v>
      </x:c>
      <x:c r="V25" s="31" t="str">
        <x:v>Published ~87-kyr Shatsky–Walvis mismatch; retained as a conservative site-level stress bound, not a confidence interval.</x:v>
      </x:c>
      <x:c r="W25" s="31" t="str">
        <x:v>Dinarès-Turell et al. (2014); Westerhold et al. (2011); Woelders et al. (2017); Hull et al. (2020)</x:v>
      </x:c>
      <x:c r="X25" s="31" t="str">
        <x:v>Common absolute-timescale and shared target-solution systematics are excluded from record-specific Layer B coverage.</x:v>
      </x:c>
      <x:c r="Y25" s="31" t="str">
        <x:v>Executable</x:v>
      </x:c>
      <x:c r="Z25" s="31" t="str"/>
      <x:c r="AA25" s="31" t="str">
        <x:v>https://www.theqstorm.org/data/aay5055_hull_sm.pdf</x:v>
      </x:c>
    </x:row>
    <x:row r="26" ht="19.200000762939453" hidden="0" customHeight="1">
      <x:c r="A26" s="30" t="str">
        <x:v>d18O::ODP1209 6</x:v>
      </x:c>
      <x:c r="B26" s="30" t="str">
        <x:v>d18O</x:v>
      </x:c>
      <x:c r="C26" s="30" t="str">
        <x:v>ODP1209 6</x:v>
      </x:c>
      <x:c r="D26" s="30" t="str">
        <x:v>Benthic foraminifera</x:v>
      </x:c>
      <x:c r="E26" s="34" t="n">
        <x:v>292</x:v>
      </x:c>
      <x:c r="F26" s="34" t="str">
        <x:v>Astronomical/cyclostratigraphic tuning</x:v>
      </x:c>
      <x:c r="G26" s="34" t="str">
        <x:v>Cyclostratigraphic/astronomical tuning with 405-kyr eccentricity framework and K–Pg anchor; latest Maastrichtian extension</x:v>
      </x:c>
      <x:c r="H26" s="34" t="n">
        <x:v>1</x:v>
      </x:c>
      <x:c r="I26" s="34" t="n">
        <x:f>IF(H26=1,E26,0)</x:f>
        <x:v>292</x:v>
      </x:c>
      <x:c r="J26" s="34" t="n">
        <x:f>IF(H26=0,E26,0)</x:f>
        <x:v>0</x:v>
      </x:c>
      <x:c r="K26" s="30" t="str">
        <x:v>Primary retained</x:v>
      </x:c>
      <x:c r="L26" s="30" t="str">
        <x:v>chronology::ODP1209_shared</x:v>
      </x:c>
      <x:c r="M26" s="30" t="str">
        <x:v>CHR-P1-ODP1209-SHATSKY</x:v>
      </x:c>
      <x:c r="N26" s="30" t="str">
        <x:v>shared chronology-group whole-record shift</x:v>
      </x:c>
      <x:c r="O26" s="34" t="n">
        <x:v>-87</x:v>
      </x:c>
      <x:c r="P26" s="34" t="n">
        <x:v>87</x:v>
      </x:c>
      <x:c r="Q26" s="30" t="str">
        <x:v>kyr</x:v>
      </x:c>
      <x:c r="R26" s="30" t="str">
        <x:v>Bounded Uniform(-87,+87 kyr)</x:v>
      </x:c>
      <x:c r="S26" s="30" t="str">
        <x:v>Whole retained record</x:v>
      </x:c>
      <x:c r="T26" s="30" t="str">
        <x:v>One common ΔShatsky for every ODP 1209 member; ODP 1210 Layer B members reuse the same draw.</x:v>
      </x:c>
      <x:c r="U26" s="30" t="str">
        <x:v>Direct site-specific empirical mismatch / conservative bound</x:v>
      </x:c>
      <x:c r="V26" s="30" t="str">
        <x:v>Published ~87-kyr Shatsky–Walvis mismatch; retained as a conservative site-level stress bound, not a confidence interval.</x:v>
      </x:c>
      <x:c r="W26" s="30" t="str">
        <x:v>Dinarès-Turell et al. (2014); Westerhold et al. (2011); Woelders et al. (2017); Hull et al. (2020)</x:v>
      </x:c>
      <x:c r="X26" s="30" t="str">
        <x:v>Common absolute-timescale and shared target-solution systematics are excluded from record-specific Layer B coverage.</x:v>
      </x:c>
      <x:c r="Y26" s="30" t="str">
        <x:v>Executable</x:v>
      </x:c>
      <x:c r="Z26" s="30" t="str"/>
      <x:c r="AA26" s="30" t="str">
        <x:v>https://www.theqstorm.org/data/aay5055_hull_sm.pdf</x:v>
      </x:c>
    </x:row>
    <x:row r="27" ht="19.200000762939453" hidden="0" customHeight="1">
      <x:c r="A27" s="31" t="str">
        <x:v>d18O::ODP1210</x:v>
      </x:c>
      <x:c r="B27" s="31" t="str">
        <x:v>d18O</x:v>
      </x:c>
      <x:c r="C27" s="31" t="str">
        <x:v>ODP1210</x:v>
      </x:c>
      <x:c r="D27" s="31" t="str">
        <x:v>Benthic foraminifera</x:v>
      </x:c>
      <x:c r="E27" s="35" t="n">
        <x:v>25</x:v>
      </x:c>
      <x:c r="F27" s="35" t="str">
        <x:v>Astronomical/cyclostratigraphic tuning</x:v>
      </x:c>
      <x:c r="G27" s="35" t="str">
        <x:v>Shatsky Rise cyclostratigraphic/cross-site tuning tied to the same Dinarès-Turell framework</x:v>
      </x:c>
      <x:c r="H27" s="35" t="n">
        <x:v>1</x:v>
      </x:c>
      <x:c r="I27" s="35" t="n">
        <x:f>IF(H27=1,E27,0)</x:f>
        <x:v>25</x:v>
      </x:c>
      <x:c r="J27" s="35" t="n">
        <x:f>IF(H27=0,E27,0)</x:f>
        <x:v>0</x:v>
      </x:c>
      <x:c r="K27" s="31" t="str">
        <x:v>Layer B added</x:v>
      </x:c>
      <x:c r="L27" s="31" t="str">
        <x:v>chronology::ODP1210_shared</x:v>
      </x:c>
      <x:c r="M27" s="31" t="str">
        <x:v>CHR-P1-ODP1209-SHATSKY</x:v>
      </x:c>
      <x:c r="N27" s="31" t="str">
        <x:v>shared chronology-group whole-record shift</x:v>
      </x:c>
      <x:c r="O27" s="35" t="n">
        <x:v>-87</x:v>
      </x:c>
      <x:c r="P27" s="35" t="n">
        <x:v>87</x:v>
      </x:c>
      <x:c r="Q27" s="31" t="str">
        <x:v>kyr</x:v>
      </x:c>
      <x:c r="R27" s="31" t="str">
        <x:v>Bounded Uniform(-87,+87 kyr)</x:v>
      </x:c>
      <x:c r="S27" s="31" t="str">
        <x:v>Whole retained record</x:v>
      </x:c>
      <x:c r="T27" s="31" t="str">
        <x:v>Reuse the ODP 1209/Shatsky Δ; never draw an independent ODP 1210 shift.</x:v>
      </x:c>
      <x:c r="U27" s="31" t="str">
        <x:v>Low-confidence method/site-framework extension</x:v>
      </x:c>
      <x:c r="V27" s="31" t="str">
        <x:v>No direct Site 1210 range exists; the ±87-kyr bound is transferred only because Site 1210 uses the same Shatsky chronology framework.</x:v>
      </x:c>
      <x:c r="W27" s="31" t="str">
        <x:v>Alegret et al. (2012); Esmeray-Senlet et al. (2015); Dinarès-Turell et al. (2014); Hull et al. (2020)</x:v>
      </x:c>
      <x:c r="X27" s="31" t="str">
        <x:v>Common absolute-timescale and shared target-solution systematics are excluded from record-specific Layer B coverage.</x:v>
      </x:c>
      <x:c r="Y27" s="31" t="str">
        <x:v>Executable as secondary conservative Layer B</x:v>
      </x:c>
      <x:c r="Z27" s="31" t="str"/>
      <x:c r="AA27" s="31" t="str">
        <x:v>https://www.theqstorm.org/data/aay5055_hull_sm.pdf
https://doi.org/10.1016/j.epsl.2014.08.027</x:v>
      </x:c>
    </x:row>
    <x:row r="28" ht="19.200000762939453" hidden="0" customHeight="1">
      <x:c r="A28" s="30" t="str">
        <x:v>d18O::ODP1210B</x:v>
      </x:c>
      <x:c r="B28" s="30" t="str">
        <x:v>d18O</x:v>
      </x:c>
      <x:c r="C28" s="30" t="str">
        <x:v>ODP1210B</x:v>
      </x:c>
      <x:c r="D28" s="30" t="str">
        <x:v>Benthic foraminifera</x:v>
      </x:c>
      <x:c r="E28" s="34" t="n">
        <x:v>58</x:v>
      </x:c>
      <x:c r="F28" s="34" t="str">
        <x:v>Astronomical/cyclostratigraphic tuning</x:v>
      </x:c>
      <x:c r="G28" s="34" t="str">
        <x:v>Shatsky Rise cyclostratigraphic/cross-site tuning tied to the same Dinarès-Turell framework</x:v>
      </x:c>
      <x:c r="H28" s="34" t="n">
        <x:v>1</x:v>
      </x:c>
      <x:c r="I28" s="34" t="n">
        <x:f>IF(H28=1,E28,0)</x:f>
        <x:v>58</x:v>
      </x:c>
      <x:c r="J28" s="34" t="n">
        <x:f>IF(H28=0,E28,0)</x:f>
        <x:v>0</x:v>
      </x:c>
      <x:c r="K28" s="30" t="str">
        <x:v>Layer B added</x:v>
      </x:c>
      <x:c r="L28" s="30" t="str">
        <x:v>chronology::ODP1210_shared</x:v>
      </x:c>
      <x:c r="M28" s="30" t="str">
        <x:v>CHR-P1-ODP1209-SHATSKY</x:v>
      </x:c>
      <x:c r="N28" s="30" t="str">
        <x:v>shared chronology-group whole-record shift</x:v>
      </x:c>
      <x:c r="O28" s="34" t="n">
        <x:v>-87</x:v>
      </x:c>
      <x:c r="P28" s="34" t="n">
        <x:v>87</x:v>
      </x:c>
      <x:c r="Q28" s="30" t="str">
        <x:v>kyr</x:v>
      </x:c>
      <x:c r="R28" s="30" t="str">
        <x:v>Bounded Uniform(-87,+87 kyr)</x:v>
      </x:c>
      <x:c r="S28" s="30" t="str">
        <x:v>Whole retained record</x:v>
      </x:c>
      <x:c r="T28" s="30" t="str">
        <x:v>Reuse the ODP 1209/Shatsky Δ; never draw an independent ODP 1210 shift.</x:v>
      </x:c>
      <x:c r="U28" s="30" t="str">
        <x:v>Low-confidence method/site-framework extension</x:v>
      </x:c>
      <x:c r="V28" s="30" t="str">
        <x:v>No direct Site 1210 range exists; the ±87-kyr bound is transferred only because Site 1210 uses the same Shatsky chronology framework.</x:v>
      </x:c>
      <x:c r="W28" s="30" t="str">
        <x:v>Alegret et al. (2012); Esmeray-Senlet et al. (2015); Dinarès-Turell et al. (2014); Hull et al. (2020)</x:v>
      </x:c>
      <x:c r="X28" s="30" t="str">
        <x:v>Common absolute-timescale and shared target-solution systematics are excluded from record-specific Layer B coverage.</x:v>
      </x:c>
      <x:c r="Y28" s="30" t="str">
        <x:v>Executable as secondary conservative Layer B</x:v>
      </x:c>
      <x:c r="Z28" s="30" t="str"/>
      <x:c r="AA28" s="30" t="str">
        <x:v>https://www.theqstorm.org/data/aay5055_hull_sm.pdf
https://doi.org/10.1016/j.epsl.2014.08.027</x:v>
      </x:c>
    </x:row>
    <x:row r="29" ht="19.200000762939453" hidden="0" customHeight="1">
      <x:c r="A29" s="31" t="str">
        <x:v>d18O::ODP1262</x:v>
      </x:c>
      <x:c r="B29" s="31" t="str">
        <x:v>d18O</x:v>
      </x:c>
      <x:c r="C29" s="31" t="str">
        <x:v>ODP1262</x:v>
      </x:c>
      <x:c r="D29" s="31" t="str">
        <x:v>Benthic foraminifera</x:v>
      </x:c>
      <x:c r="E29" s="35" t="n">
        <x:v>853</x:v>
      </x:c>
      <x:c r="F29" s="35" t="str">
        <x:v>Astronomical/cyclostratigraphic tuning</x:v>
      </x:c>
      <x:c r="G29" s="35" t="str">
        <x:v>405-kyr orbital tuning correlated to La2010b, with published tie points and K–Pg anchor</x:v>
      </x:c>
      <x:c r="H29" s="35" t="n">
        <x:v>1</x:v>
      </x:c>
      <x:c r="I29" s="35" t="n">
        <x:f>IF(H29=1,E29,0)</x:f>
        <x:v>853</x:v>
      </x:c>
      <x:c r="J29" s="35" t="n">
        <x:f>IF(H29=0,E29,0)</x:f>
        <x:v>0</x:v>
      </x:c>
      <x:c r="K29" s="31" t="str">
        <x:v>Layer B added</x:v>
      </x:c>
      <x:c r="L29" s="31" t="str">
        <x:v>chronology::ODP1262_shared</x:v>
      </x:c>
      <x:c r="M29" s="31" t="str">
        <x:v>CHR-B1-ODP1262</x:v>
      </x:c>
      <x:c r="N29" s="31" t="str">
        <x:v>shared chronology-group whole-record shift</x:v>
      </x:c>
      <x:c r="O29" s="35" t="n">
        <x:v>-40</x:v>
      </x:c>
      <x:c r="P29" s="35" t="n">
        <x:v>40</x:v>
      </x:c>
      <x:c r="Q29" s="31" t="str">
        <x:v>kyr</x:v>
      </x:c>
      <x:c r="R29" s="31" t="str">
        <x:v>Bounded Uniform(-40,+40 kyr)</x:v>
      </x:c>
      <x:c r="S29" s="31" t="str">
        <x:v>Whole retained record</x:v>
      </x:c>
      <x:c r="T29" s="31" t="str">
        <x:v>One common Δ1262 for all six operational records; preserve all within-site age spacing.</x:v>
      </x:c>
      <x:c r="U29" s="31" t="str">
        <x:v>Method-based one-cycle tuning ambiguity</x:v>
      </x:c>
      <x:c r="V29" s="31" t="str">
        <x:v>No local probability distribution is reported. Method literature supports ~20-kyr precession and ~40-kyr obliquity cycle ambiguity; ±40 kyr is used as the conservative bounded Layer B range. The ±50-kyr stress bound remains expanded-only.</x:v>
      </x:c>
      <x:c r="W29" s="31" t="str">
        <x:v>Dinarès-Turell et al. (2014); Barnet et al. (2019); Woelders et al. (2017); Hull et al. (2020)</x:v>
      </x:c>
      <x:c r="X29" s="31" t="str">
        <x:v>Common absolute-timescale and shared target-solution systematics are excluded from record-specific Layer B coverage.</x:v>
      </x:c>
      <x:c r="Y29" s="31" t="str">
        <x:v>Executable as method-based sensitivity</x:v>
      </x:c>
      <x:c r="Z29" s="31" t="str"/>
      <x:c r="AA29" s="31" t="str">
        <x:v>https://doi.org/10.1002/2014PA002762
https://doi.org/10.1016/j.epsl.2014.08.027</x:v>
      </x:c>
    </x:row>
    <x:row r="30" ht="19.200000762939453" hidden="0" customHeight="1">
      <x:c r="A30" s="30" t="str">
        <x:v>d18O::ODP1262 2</x:v>
      </x:c>
      <x:c r="B30" s="30" t="str">
        <x:v>d18O</x:v>
      </x:c>
      <x:c r="C30" s="30" t="str">
        <x:v>ODP1262 2</x:v>
      </x:c>
      <x:c r="D30" s="30" t="str">
        <x:v>bulk carbonate</x:v>
      </x:c>
      <x:c r="E30" s="34" t="n">
        <x:v>913</x:v>
      </x:c>
      <x:c r="F30" s="34" t="str">
        <x:v>Astronomical/cyclostratigraphic tuning</x:v>
      </x:c>
      <x:c r="G30" s="34" t="str">
        <x:v>405-kyr orbital tuning correlated to La2010b, with published tie points and K–Pg anchor</x:v>
      </x:c>
      <x:c r="H30" s="34" t="n">
        <x:v>1</x:v>
      </x:c>
      <x:c r="I30" s="34" t="n">
        <x:f>IF(H30=1,E30,0)</x:f>
        <x:v>913</x:v>
      </x:c>
      <x:c r="J30" s="34" t="n">
        <x:f>IF(H30=0,E30,0)</x:f>
        <x:v>0</x:v>
      </x:c>
      <x:c r="K30" s="30" t="str">
        <x:v>Layer B added</x:v>
      </x:c>
      <x:c r="L30" s="30" t="str">
        <x:v>chronology::ODP1262_shared</x:v>
      </x:c>
      <x:c r="M30" s="30" t="str">
        <x:v>CHR-B1-ODP1262</x:v>
      </x:c>
      <x:c r="N30" s="30" t="str">
        <x:v>shared chronology-group whole-record shift</x:v>
      </x:c>
      <x:c r="O30" s="34" t="n">
        <x:v>-40</x:v>
      </x:c>
      <x:c r="P30" s="34" t="n">
        <x:v>40</x:v>
      </x:c>
      <x:c r="Q30" s="30" t="str">
        <x:v>kyr</x:v>
      </x:c>
      <x:c r="R30" s="30" t="str">
        <x:v>Bounded Uniform(-40,+40 kyr)</x:v>
      </x:c>
      <x:c r="S30" s="30" t="str">
        <x:v>Whole retained record</x:v>
      </x:c>
      <x:c r="T30" s="30" t="str">
        <x:v>One common Δ1262 for all six operational records; preserve all within-site age spacing.</x:v>
      </x:c>
      <x:c r="U30" s="30" t="str">
        <x:v>Method-based one-cycle tuning ambiguity</x:v>
      </x:c>
      <x:c r="V30" s="30" t="str">
        <x:v>No local probability distribution is reported. Method literature supports ~20-kyr precession and ~40-kyr obliquity cycle ambiguity; ±40 kyr is used as the conservative bounded Layer B range. The ±50-kyr stress bound remains expanded-only.</x:v>
      </x:c>
      <x:c r="W30" s="30" t="str">
        <x:v>Dinarès-Turell et al. (2014); Barnet et al. (2019); Woelders et al. (2017); Hull et al. (2020)</x:v>
      </x:c>
      <x:c r="X30" s="30" t="str">
        <x:v>Common absolute-timescale and shared target-solution systematics are excluded from record-specific Layer B coverage.</x:v>
      </x:c>
      <x:c r="Y30" s="30" t="str">
        <x:v>Executable as method-based sensitivity</x:v>
      </x:c>
      <x:c r="Z30" s="30" t="str"/>
      <x:c r="AA30" s="30" t="str">
        <x:v>https://doi.org/10.1002/2014PA002762
https://doi.org/10.1016/j.epsl.2014.08.027</x:v>
      </x:c>
    </x:row>
    <x:row r="31" ht="19.200000762939453" hidden="0" customHeight="1">
      <x:c r="A31" s="31" t="str">
        <x:v>d18O::ODP1267</x:v>
      </x:c>
      <x:c r="B31" s="31" t="str">
        <x:v>d18O</x:v>
      </x:c>
      <x:c r="C31" s="31" t="str">
        <x:v>ODP1267</x:v>
      </x:c>
      <x:c r="D31" s="31" t="str">
        <x:v>Benthic foraminifera</x:v>
      </x:c>
      <x:c r="E31" s="35" t="n">
        <x:v>60</x:v>
      </x:c>
      <x:c r="F31" s="35" t="str">
        <x:v>Astronomical/cyclostratigraphic tuning</x:v>
      </x:c>
      <x:c r="G31" s="35" t="str">
        <x:v>Astronomically calibrated Danian/cyclostratigraphic framework linked to Walvis Ridge and K–Pg anchor</x:v>
      </x:c>
      <x:c r="H31" s="35" t="n">
        <x:v>1</x:v>
      </x:c>
      <x:c r="I31" s="35" t="n">
        <x:f>IF(H31=1,E31,0)</x:f>
        <x:v>60</x:v>
      </x:c>
      <x:c r="J31" s="35" t="n">
        <x:f>IF(H31=0,E31,0)</x:f>
        <x:v>0</x:v>
      </x:c>
      <x:c r="K31" s="31" t="str">
        <x:v>Layer B added</x:v>
      </x:c>
      <x:c r="L31" s="31" t="str">
        <x:v>chronology::ODP1267_shared</x:v>
      </x:c>
      <x:c r="M31" s="31" t="str">
        <x:v>CHR-B2-ODP1267</x:v>
      </x:c>
      <x:c r="N31" s="31" t="str">
        <x:v>shared chronology-group whole-record shift</x:v>
      </x:c>
      <x:c r="O31" s="35" t="n">
        <x:v>-40</x:v>
      </x:c>
      <x:c r="P31" s="35" t="n">
        <x:v>40</x:v>
      </x:c>
      <x:c r="Q31" s="31" t="str">
        <x:v>kyr</x:v>
      </x:c>
      <x:c r="R31" s="31" t="str">
        <x:v>Bounded Uniform(-40,+40 kyr)</x:v>
      </x:c>
      <x:c r="S31" s="31" t="str">
        <x:v>Whole retained record</x:v>
      </x:c>
      <x:c r="T31" s="31" t="str">
        <x:v>One common Δ1267 for all three operational records; preserve all within-site age spacing.</x:v>
      </x:c>
      <x:c r="U31" s="31" t="str">
        <x:v>Method-based one-cycle tuning ambiguity</x:v>
      </x:c>
      <x:c r="V31" s="31" t="str">
        <x:v>No local probability distribution is reported. Method literature supports ~20-kyr precession and ~40-kyr obliquity cycle ambiguity; ±40 kyr is used as the conservative bounded Layer B range. The ±50-kyr stress bound remains expanded-only.</x:v>
      </x:c>
      <x:c r="W31" s="31" t="str">
        <x:v>Dinarès-Turell et al. (2014); Hull et al. (2020)</x:v>
      </x:c>
      <x:c r="X31" s="31" t="str">
        <x:v>Common absolute-timescale and shared target-solution systematics are excluded from record-specific Layer B coverage.</x:v>
      </x:c>
      <x:c r="Y31" s="31" t="str">
        <x:v>Executable as method-based sensitivity</x:v>
      </x:c>
      <x:c r="Z31" s="31" t="str"/>
      <x:c r="AA31" s="31" t="str">
        <x:v>https://doi.org/10.1002/2014PA002762
https://doi.org/10.1016/j.epsl.2014.08.027</x:v>
      </x:c>
    </x:row>
    <x:row r="32" ht="19.200000762939453" hidden="0" customHeight="1">
      <x:c r="A32" s="30" t="str">
        <x:v>d18O::ODP1267 2</x:v>
      </x:c>
      <x:c r="B32" s="30" t="str">
        <x:v>d18O</x:v>
      </x:c>
      <x:c r="C32" s="30" t="str">
        <x:v>ODP1267 2</x:v>
      </x:c>
      <x:c r="D32" s="30" t="str">
        <x:v>bulk carbonate</x:v>
      </x:c>
      <x:c r="E32" s="34" t="n">
        <x:v>387</x:v>
      </x:c>
      <x:c r="F32" s="34" t="str">
        <x:v>Astronomical/cyclostratigraphic tuning</x:v>
      </x:c>
      <x:c r="G32" s="34" t="str">
        <x:v>Astronomically calibrated Danian/cyclostratigraphic framework linked to Walvis Ridge and K–Pg anchor</x:v>
      </x:c>
      <x:c r="H32" s="34" t="n">
        <x:v>1</x:v>
      </x:c>
      <x:c r="I32" s="34" t="n">
        <x:f>IF(H32=1,E32,0)</x:f>
        <x:v>387</x:v>
      </x:c>
      <x:c r="J32" s="34" t="n">
        <x:f>IF(H32=0,E32,0)</x:f>
        <x:v>0</x:v>
      </x:c>
      <x:c r="K32" s="30" t="str">
        <x:v>Layer B added</x:v>
      </x:c>
      <x:c r="L32" s="30" t="str">
        <x:v>chronology::ODP1267_shared</x:v>
      </x:c>
      <x:c r="M32" s="30" t="str">
        <x:v>CHR-B2-ODP1267</x:v>
      </x:c>
      <x:c r="N32" s="30" t="str">
        <x:v>shared chronology-group whole-record shift</x:v>
      </x:c>
      <x:c r="O32" s="34" t="n">
        <x:v>-40</x:v>
      </x:c>
      <x:c r="P32" s="34" t="n">
        <x:v>40</x:v>
      </x:c>
      <x:c r="Q32" s="30" t="str">
        <x:v>kyr</x:v>
      </x:c>
      <x:c r="R32" s="30" t="str">
        <x:v>Bounded Uniform(-40,+40 kyr)</x:v>
      </x:c>
      <x:c r="S32" s="30" t="str">
        <x:v>Whole retained record</x:v>
      </x:c>
      <x:c r="T32" s="30" t="str">
        <x:v>One common Δ1267 for all three operational records; preserve all within-site age spacing.</x:v>
      </x:c>
      <x:c r="U32" s="30" t="str">
        <x:v>Method-based one-cycle tuning ambiguity</x:v>
      </x:c>
      <x:c r="V32" s="30" t="str">
        <x:v>No local probability distribution is reported. Method literature supports ~20-kyr precession and ~40-kyr obliquity cycle ambiguity; ±40 kyr is used as the conservative bounded Layer B range. The ±50-kyr stress bound remains expanded-only.</x:v>
      </x:c>
      <x:c r="W32" s="30" t="str">
        <x:v>Dinarès-Turell et al. (2014); Hull et al. (2020)</x:v>
      </x:c>
      <x:c r="X32" s="30" t="str">
        <x:v>Common absolute-timescale and shared target-solution systematics are excluded from record-specific Layer B coverage.</x:v>
      </x:c>
      <x:c r="Y32" s="30" t="str">
        <x:v>Executable as method-based sensitivity</x:v>
      </x:c>
      <x:c r="Z32" s="30" t="str"/>
      <x:c r="AA32" s="30" t="str">
        <x:v>https://doi.org/10.1002/2014PA002762
https://doi.org/10.1016/j.epsl.2014.08.027</x:v>
      </x:c>
    </x:row>
    <x:row r="33" ht="19.200000762939453" hidden="0" customHeight="1">
      <x:c r="A33" s="31" t="str">
        <x:v>d18O::Songliao Basin</x:v>
      </x:c>
      <x:c r="B33" s="31" t="str">
        <x:v>d18O</x:v>
      </x:c>
      <x:c r="C33" s="31" t="str">
        <x:v>Songliao Basin</x:v>
      </x:c>
      <x:c r="D33" s="31" t="str">
        <x:v>pedogenic carbonate</x:v>
      </x:c>
      <x:c r="E33" s="35" t="n">
        <x:v>126</x:v>
      </x:c>
      <x:c r="F33" s="35" t="str">
        <x:v>Mixed terrestrial radiometric/magneto-/biostratigraphic chronology</x:v>
      </x:c>
      <x:c r="G33" s="35" t="str">
        <x:v>Integrated high-resolution magnetostratigraphy, lithostratigraphy, biostratigraphy, and SIMS U–Pb controls</x:v>
      </x:c>
      <x:c r="H33" s="35" t="n">
        <x:v>0</x:v>
      </x:c>
      <x:c r="I33" s="35" t="n">
        <x:f>IF(H33=1,E33,0)</x:f>
        <x:v>0</x:v>
      </x:c>
      <x:c r="J33" s="35" t="n">
        <x:f>IF(H33=0,E33,0)</x:f>
        <x:v>126</x:v>
      </x:c>
      <x:c r="K33" s="31" t="str">
        <x:v>Fixed</x:v>
      </x:c>
      <x:c r="L33" s="31" t="str">
        <x:v>chronology::Songliao_Basin</x:v>
      </x:c>
      <x:c r="M33" s="31" t="str"/>
      <x:c r="N33" s="31" t="str">
        <x:v>fixed</x:v>
      </x:c>
      <x:c r="O33" s="35"/>
      <x:c r="P33" s="35"/>
      <x:c r="Q33" s="31" t="str">
        <x:v>kyr</x:v>
      </x:c>
      <x:c r="R33" s="31" t="str">
        <x:v>Not randomized</x:v>
      </x:c>
      <x:c r="S33" s="31" t="str">
        <x:v>Not applicable</x:v>
      </x:c>
      <x:c r="T33" s="31" t="str">
        <x:v>Retain central ages until source-specific control-point bounds or alternative models are available.</x:v>
      </x:c>
      <x:c r="U33" s="31" t="str">
        <x:v>Method identified; no defensible transferable quantitative local range</x:v>
      </x:c>
      <x:c r="V33" s="31" t="str">
        <x:v>Method literature requires record-specific reversal/event depths, dated-horizon errors, local sedimentation constraints or alternative correlations; these cannot be inferred from the retained age sequence.</x:v>
      </x:c>
      <x:c r="W33" s="31" t="str">
        <x:v>Deng et al. (2013); He et al. (2012); Zhang et al. (2018)</x:v>
      </x:c>
      <x:c r="X33" s="31" t="str">
        <x:v>Common absolute-timescale and shared target-solution systematics are excluded from record-specific Layer B coverage.</x:v>
      </x:c>
      <x:c r="Y33" s="31" t="str">
        <x:v>Fixed</x:v>
      </x:c>
      <x:c r="Z33" s="31" t="str">
        <x:v>Method identifiable but quantitative local controls remain unavailable</x:v>
      </x:c>
      <x:c r="AA33" s="31" t="str">
        <x:v>See record-specific chronology sources in the source audit</x:v>
      </x:c>
    </x:row>
    <x:row r="34" ht="19.200000762939453" hidden="0" customHeight="1">
      <x:c r="A34" s="30" t="str">
        <x:v>d18O::Songliao Basin 2</x:v>
      </x:c>
      <x:c r="B34" s="30" t="str">
        <x:v>d18O</x:v>
      </x:c>
      <x:c r="C34" s="30" t="str">
        <x:v>Songliao Basin 2</x:v>
      </x:c>
      <x:c r="D34" s="30" t="str">
        <x:v>Ostracod shell</x:v>
      </x:c>
      <x:c r="E34" s="34" t="n">
        <x:v>32</x:v>
      </x:c>
      <x:c r="F34" s="34" t="str">
        <x:v>Mixed terrestrial radiometric/magneto-/biostratigraphic chronology</x:v>
      </x:c>
      <x:c r="G34" s="34" t="str">
        <x:v>Songliao integrated magnetostratigraphic/radiometric framework applied to the Chamberlain series</x:v>
      </x:c>
      <x:c r="H34" s="34" t="n">
        <x:v>0</x:v>
      </x:c>
      <x:c r="I34" s="34" t="n">
        <x:f>IF(H34=1,E34,0)</x:f>
        <x:v>0</x:v>
      </x:c>
      <x:c r="J34" s="34" t="n">
        <x:f>IF(H34=0,E34,0)</x:f>
        <x:v>32</x:v>
      </x:c>
      <x:c r="K34" s="30" t="str">
        <x:v>Fixed</x:v>
      </x:c>
      <x:c r="L34" s="30" t="str">
        <x:v>chronology::Songliao_Basin_2</x:v>
      </x:c>
      <x:c r="M34" s="30" t="str"/>
      <x:c r="N34" s="30" t="str">
        <x:v>fixed</x:v>
      </x:c>
      <x:c r="O34" s="34"/>
      <x:c r="P34" s="34"/>
      <x:c r="Q34" s="30" t="str">
        <x:v>kyr</x:v>
      </x:c>
      <x:c r="R34" s="30" t="str">
        <x:v>Not randomized</x:v>
      </x:c>
      <x:c r="S34" s="30" t="str">
        <x:v>Not applicable</x:v>
      </x:c>
      <x:c r="T34" s="30" t="str">
        <x:v>Retain central ages until source-specific control-point bounds or alternative models are available.</x:v>
      </x:c>
      <x:c r="U34" s="30" t="str">
        <x:v>Method identified; no defensible transferable quantitative local range</x:v>
      </x:c>
      <x:c r="V34" s="30" t="str">
        <x:v>Method literature requires record-specific reversal/event depths, dated-horizon errors, local sedimentation constraints or alternative correlations; these cannot be inferred from the retained age sequence.</x:v>
      </x:c>
      <x:c r="W34" s="30" t="str">
        <x:v>Chamberlain et al. (2013); Deng et al. (2013); He et al. (2012)</x:v>
      </x:c>
      <x:c r="X34" s="30" t="str">
        <x:v>Common absolute-timescale and shared target-solution systematics are excluded from record-specific Layer B coverage.</x:v>
      </x:c>
      <x:c r="Y34" s="30" t="str">
        <x:v>Fixed</x:v>
      </x:c>
      <x:c r="Z34" s="30" t="str">
        <x:v>Method identifiable but quantitative local controls remain unavailable</x:v>
      </x:c>
      <x:c r="AA34" s="30" t="str">
        <x:v>See record-specific chronology sources in the source audit</x:v>
      </x:c>
    </x:row>
    <x:row r="35" ht="15" hidden="0" customHeight="1">
      <x:c r="A35" s="31" t="str">
        <x:v>d18O::Stevns-1 Core</x:v>
      </x:c>
      <x:c r="B35" s="31" t="str">
        <x:v>d18O</x:v>
      </x:c>
      <x:c r="C35" s="31" t="str">
        <x:v>Stevns-1 Core</x:v>
      </x:c>
      <x:c r="D35" s="31" t="str">
        <x:v>chalk</x:v>
      </x:c>
      <x:c r="E35" s="35" t="n">
        <x:v>774</x:v>
      </x:c>
      <x:c r="F35" s="35" t="str">
        <x:v>Segment/hiatus-related chronology</x:v>
      </x:c>
      <x:c r="G35" s="35" t="str">
        <x:v>Carbon-isotope correlation to astronomically calibrated ODP 762C, with magnetostratigraphic context</x:v>
      </x:c>
      <x:c r="H35" s="35" t="n">
        <x:v>0</x:v>
      </x:c>
      <x:c r="I35" s="35" t="n">
        <x:f>IF(H35=1,E35,0)</x:f>
        <x:v>0</x:v>
      </x:c>
      <x:c r="J35" s="35" t="n">
        <x:f>IF(H35=0,E35,0)</x:f>
        <x:v>774</x:v>
      </x:c>
      <x:c r="K35" s="31" t="str">
        <x:v>Fixed</x:v>
      </x:c>
      <x:c r="L35" s="31" t="str">
        <x:v>chronology::Stevns-1_Core</x:v>
      </x:c>
      <x:c r="M35" s="31" t="str"/>
      <x:c r="N35" s="31" t="str">
        <x:v>fixed</x:v>
      </x:c>
      <x:c r="O35" s="35"/>
      <x:c r="P35" s="35"/>
      <x:c r="Q35" s="31" t="str">
        <x:v>kyr</x:v>
      </x:c>
      <x:c r="R35" s="31" t="str">
        <x:v>Not randomized</x:v>
      </x:c>
      <x:c r="S35" s="31" t="str">
        <x:v>Not applicable</x:v>
      </x:c>
      <x:c r="T35" s="31" t="str">
        <x:v>A discrete alternative age-depth/hiatus model would be required.</x:v>
      </x:c>
      <x:c r="U35" s="31" t="str">
        <x:v>Structural or hiatus-related chronology</x:v>
      </x:c>
      <x:c r="V35" s="31" t="str">
        <x:v>A documented gap, hiatus or disconformity is not converted into a symmetric timing error or a whole-record shift.</x:v>
      </x:c>
      <x:c r="W35" s="31" t="str">
        <x:v>Thibault et al. (2016); Thibault et al. (2012)</x:v>
      </x:c>
      <x:c r="X35" s="31" t="str">
        <x:v>Common absolute-timescale and shared target-solution systematics are excluded from record-specific Layer B coverage.</x:v>
      </x:c>
      <x:c r="Y35" s="31" t="str">
        <x:v>Not executable without an explicit alternative age-depth model</x:v>
      </x:c>
      <x:c r="Z35" s="31" t="str">
        <x:v>Hiatus/structural correction cannot be treated as a timing-error distribution</x:v>
      </x:c>
      <x:c r="AA35" s="31" t="str">
        <x:v>https://cp.copernicus.org/articles/12/429/2016/</x:v>
      </x:c>
    </x:row>
    <x:row r="36" ht="28.799999237060547" hidden="0" customHeight="1">
      <x:c r="A36" s="30" t="str">
        <x:v>pCO2::all data</x:v>
      </x:c>
      <x:c r="B36" s="30" t="str">
        <x:v>pCO2</x:v>
      </x:c>
      <x:c r="C36" s="30" t="str">
        <x:v>all data</x:v>
      </x:c>
      <x:c r="D36" s="30" t="str">
        <x:v>Boron Proxies | Leaf Gas Exchange | Liverworts | Paleosols | Stomatal Frequencies</x:v>
      </x:c>
      <x:c r="E36" s="34" t="n">
        <x:v>67</x:v>
      </x:c>
      <x:c r="F36" s="34" t="str">
        <x:v>Pooled heterogeneous source chronologies</x:v>
      </x:c>
      <x:c r="G36" s="34" t="str">
        <x:v>Pooled pCO₂ operational record combining source-specific terrestrial and marine chronologies</x:v>
      </x:c>
      <x:c r="H36" s="34" t="n">
        <x:v>0</x:v>
      </x:c>
      <x:c r="I36" s="34" t="n">
        <x:f>IF(H36=1,E36,0)</x:f>
        <x:v>0</x:v>
      </x:c>
      <x:c r="J36" s="34" t="n">
        <x:f>IF(H36=0,E36,0)</x:f>
        <x:v>67</x:v>
      </x:c>
      <x:c r="K36" s="30" t="str">
        <x:v>Fixed</x:v>
      </x:c>
      <x:c r="L36" s="30" t="str">
        <x:v>chronology::all_data</x:v>
      </x:c>
      <x:c r="M36" s="30" t="str"/>
      <x:c r="N36" s="30" t="str">
        <x:v>fixed</x:v>
      </x:c>
      <x:c r="O36" s="34"/>
      <x:c r="P36" s="34"/>
      <x:c r="Q36" s="30" t="str">
        <x:v>kyr</x:v>
      </x:c>
      <x:c r="R36" s="30" t="str">
        <x:v>Not randomized</x:v>
      </x:c>
      <x:c r="S36" s="30" t="str">
        <x:v>Not applicable</x:v>
      </x:c>
      <x:c r="T36" s="30" t="str">
        <x:v>Requires row/source-level chronology mapping; one pooled shift is prohibited.</x:v>
      </x:c>
      <x:c r="U36" s="30" t="str">
        <x:v>Heterogeneous pooled chronologies</x:v>
      </x:c>
      <x:c r="V36" s="30" t="str">
        <x:v>The pooled pCO2 record combines multiple source/site age models; no single timing range or correlation structure is defensible.</x:v>
      </x:c>
      <x:c r="W36" s="30" t="str">
        <x:v>Kowalczyk et al. (2018); Henehan et al. (2019); Milligan et al. (2019, 2022); Zhang et al. (2018)</x:v>
      </x:c>
      <x:c r="X36" s="30" t="str">
        <x:v>Common absolute-timescale and shared target-solution systematics are excluded from record-specific Layer B coverage.</x:v>
      </x:c>
      <x:c r="Y36" s="30" t="str">
        <x:v>Fixed until row/source chronology mapping is complete</x:v>
      </x:c>
      <x:c r="Z36" s="30" t="str">
        <x:v>Pooled mixed-source chronology cannot use one record-level perturbation</x:v>
      </x:c>
      <x:c r="AA36" s="30" t="str">
        <x:v>See pooled pCO2 provenance sources in the closure inventory</x:v>
      </x:c>
    </x:row>
    <x:row r="37" ht="15" hidden="0" customHeight="1">
      <x:c r="A37" s="31" t="str">
        <x:v>temperature::Bajada del Jagüel</x:v>
      </x:c>
      <x:c r="B37" s="31" t="str">
        <x:v>temperature</x:v>
      </x:c>
      <x:c r="C37" s="31" t="str">
        <x:v>Bajada del Jagüel</x:v>
      </x:c>
      <x:c r="D37" s="31" t="str">
        <x:v>TEX86</x:v>
      </x:c>
      <x:c r="E37" s="35" t="n">
        <x:v>26</x:v>
      </x:c>
      <x:c r="F37" s="35" t="str">
        <x:v>K–Pg boundary-anchored biostratigraphic/interpolated section</x:v>
      </x:c>
      <x:c r="G37" s="35" t="str">
        <x:v>Local biostratigraphy correlated to astronomically tuned ODP 1262</x:v>
      </x:c>
      <x:c r="H37" s="35" t="n">
        <x:v>0</x:v>
      </x:c>
      <x:c r="I37" s="35" t="n">
        <x:f>IF(H37=1,E37,0)</x:f>
        <x:v>0</x:v>
      </x:c>
      <x:c r="J37" s="35" t="n">
        <x:f>IF(H37=0,E37,0)</x:f>
        <x:v>26</x:v>
      </x:c>
      <x:c r="K37" s="31" t="str">
        <x:v>Fixed</x:v>
      </x:c>
      <x:c r="L37" s="31" t="str">
        <x:v>chronology::Bajada_del_Jagüel</x:v>
      </x:c>
      <x:c r="M37" s="31" t="str"/>
      <x:c r="N37" s="31" t="str">
        <x:v>fixed</x:v>
      </x:c>
      <x:c r="O37" s="35"/>
      <x:c r="P37" s="35"/>
      <x:c r="Q37" s="31" t="str">
        <x:v>kyr</x:v>
      </x:c>
      <x:c r="R37" s="31" t="str">
        <x:v>Not randomized</x:v>
      </x:c>
      <x:c r="S37" s="31" t="str">
        <x:v>Not applicable</x:v>
      </x:c>
      <x:c r="T37" s="31" t="str">
        <x:v>Common K–Pg absolute-timescale term is tracked separately and never redrawn by record.</x:v>
      </x:c>
      <x:c r="U37" s="31" t="str">
        <x:v>Common absolute-timescale systematic only</x:v>
      </x:c>
      <x:c r="V37" s="31" t="str">
        <x:v>The audited quantitative term is the common K–Pg absolute-age calibration; no transferable local interpolation/bioevent range was found.</x:v>
      </x:c>
      <x:c r="W37" s="31" t="str">
        <x:v>Woelders et al. (2017)</x:v>
      </x:c>
      <x:c r="X37" s="31" t="str">
        <x:v>Common absolute-timescale and shared target-solution systematics are excluded from record-specific Layer B coverage.</x:v>
      </x:c>
      <x:c r="Y37" s="31" t="str">
        <x:v>Fixed in record-specific Layer B</x:v>
      </x:c>
      <x:c r="Z37" s="31" t="str">
        <x:v>Only common/shared systematic; no independent local timing bound</x:v>
      </x:c>
      <x:c r="AA37" s="31" t="str">
        <x:v>https://doi.org/10.1126/science.1230492</x:v>
      </x:c>
    </x:row>
    <x:row r="38" ht="19.200000762939453" hidden="0" customHeight="1">
      <x:c r="A38" s="30" t="str">
        <x:v>temperature::Bass River</x:v>
      </x:c>
      <x:c r="B38" s="30" t="str">
        <x:v>temperature</x:v>
      </x:c>
      <x:c r="C38" s="30" t="str">
        <x:v>Bass River</x:v>
      </x:c>
      <x:c r="D38" s="30" t="str">
        <x:v>Planktonic</x:v>
      </x:c>
      <x:c r="E38" s="34" t="n">
        <x:v>14</x:v>
      </x:c>
      <x:c r="F38" s="34" t="str">
        <x:v>K–Pg boundary-anchored biostratigraphic/interpolated section</x:v>
      </x:c>
      <x:c r="G38" s="34" t="str">
        <x:v>K–Pg-anchored New Jersey shelf age model using dinocyst/foraminiferal biostratigraphy, stratigraphic correlation, and interpolation</x:v>
      </x:c>
      <x:c r="H38" s="34" t="n">
        <x:v>0</x:v>
      </x:c>
      <x:c r="I38" s="34" t="n">
        <x:f>IF(H38=1,E38,0)</x:f>
        <x:v>0</x:v>
      </x:c>
      <x:c r="J38" s="34" t="n">
        <x:f>IF(H38=0,E38,0)</x:f>
        <x:v>14</x:v>
      </x:c>
      <x:c r="K38" s="30" t="str">
        <x:v>Fixed</x:v>
      </x:c>
      <x:c r="L38" s="30" t="str">
        <x:v>chronology::Bass_River_shared</x:v>
      </x:c>
      <x:c r="M38" s="30" t="str"/>
      <x:c r="N38" s="30" t="str">
        <x:v>fixed</x:v>
      </x:c>
      <x:c r="O38" s="34"/>
      <x:c r="P38" s="34"/>
      <x:c r="Q38" s="30" t="str">
        <x:v>kyr</x:v>
      </x:c>
      <x:c r="R38" s="30" t="str">
        <x:v>Not randomized</x:v>
      </x:c>
      <x:c r="S38" s="30" t="str">
        <x:v>Not applicable</x:v>
      </x:c>
      <x:c r="T38" s="30" t="str">
        <x:v>Common K–Pg absolute-timescale term is tracked separately and never redrawn by record.</x:v>
      </x:c>
      <x:c r="U38" s="30" t="str">
        <x:v>Common absolute-timescale systematic only</x:v>
      </x:c>
      <x:c r="V38" s="30" t="str">
        <x:v>The audited quantitative term is the common K–Pg absolute-age calibration; no transferable local interpolation/bioevent range was found.</x:v>
      </x:c>
      <x:c r="W38" s="30" t="str">
        <x:v>Esmeray-Senlet et al. (2015); Woelders et al. (2018)</x:v>
      </x:c>
      <x:c r="X38" s="30" t="str">
        <x:v>Common absolute-timescale and shared target-solution systematics are excluded from record-specific Layer B coverage.</x:v>
      </x:c>
      <x:c r="Y38" s="30" t="str">
        <x:v>Fixed in record-specific Layer B</x:v>
      </x:c>
      <x:c r="Z38" s="30" t="str">
        <x:v>Only common/shared systematic; no independent local timing bound</x:v>
      </x:c>
      <x:c r="AA38" s="30" t="str">
        <x:v>https://doi.org/10.1126/science.1230492</x:v>
      </x:c>
    </x:row>
    <x:row r="39" ht="19.200000762939453" hidden="0" customHeight="1">
      <x:c r="A39" s="31" t="str">
        <x:v>temperature::Bass River 2</x:v>
      </x:c>
      <x:c r="B39" s="31" t="str">
        <x:v>temperature</x:v>
      </x:c>
      <x:c r="C39" s="31" t="str">
        <x:v>Bass River 2</x:v>
      </x:c>
      <x:c r="D39" s="31" t="str">
        <x:v>Benthic</x:v>
      </x:c>
      <x:c r="E39" s="35" t="n">
        <x:v>34</x:v>
      </x:c>
      <x:c r="F39" s="35" t="str">
        <x:v>K–Pg boundary-anchored biostratigraphic/interpolated section</x:v>
      </x:c>
      <x:c r="G39" s="35" t="str">
        <x:v>K–Pg-anchored New Jersey shelf age model using dinocyst/foraminiferal biostratigraphy, stratigraphic correlation, and interpolation</x:v>
      </x:c>
      <x:c r="H39" s="35" t="n">
        <x:v>0</x:v>
      </x:c>
      <x:c r="I39" s="35" t="n">
        <x:f>IF(H39=1,E39,0)</x:f>
        <x:v>0</x:v>
      </x:c>
      <x:c r="J39" s="35" t="n">
        <x:f>IF(H39=0,E39,0)</x:f>
        <x:v>34</x:v>
      </x:c>
      <x:c r="K39" s="31" t="str">
        <x:v>Fixed</x:v>
      </x:c>
      <x:c r="L39" s="31" t="str">
        <x:v>chronology::Bass_River_shared</x:v>
      </x:c>
      <x:c r="M39" s="31" t="str"/>
      <x:c r="N39" s="31" t="str">
        <x:v>fixed</x:v>
      </x:c>
      <x:c r="O39" s="35"/>
      <x:c r="P39" s="35"/>
      <x:c r="Q39" s="31" t="str">
        <x:v>kyr</x:v>
      </x:c>
      <x:c r="R39" s="31" t="str">
        <x:v>Not randomized</x:v>
      </x:c>
      <x:c r="S39" s="31" t="str">
        <x:v>Not applicable</x:v>
      </x:c>
      <x:c r="T39" s="31" t="str">
        <x:v>Common K–Pg absolute-timescale term is tracked separately and never redrawn by record.</x:v>
      </x:c>
      <x:c r="U39" s="31" t="str">
        <x:v>Common absolute-timescale systematic only</x:v>
      </x:c>
      <x:c r="V39" s="31" t="str">
        <x:v>The audited quantitative term is the common K–Pg absolute-age calibration; no transferable local interpolation/bioevent range was found.</x:v>
      </x:c>
      <x:c r="W39" s="31" t="str">
        <x:v>Esmeray-Senlet et al. (2015); Woelders et al. (2018)</x:v>
      </x:c>
      <x:c r="X39" s="31" t="str">
        <x:v>Common absolute-timescale and shared target-solution systematics are excluded from record-specific Layer B coverage.</x:v>
      </x:c>
      <x:c r="Y39" s="31" t="str">
        <x:v>Fixed in record-specific Layer B</x:v>
      </x:c>
      <x:c r="Z39" s="31" t="str">
        <x:v>Only common/shared systematic; no independent local timing bound</x:v>
      </x:c>
      <x:c r="AA39" s="31" t="str">
        <x:v>https://doi.org/10.1126/science.1230492</x:v>
      </x:c>
    </x:row>
    <x:row r="40" ht="19.200000762939453" hidden="0" customHeight="1">
      <x:c r="A40" s="30" t="str">
        <x:v>temperature::Bass River 3</x:v>
      </x:c>
      <x:c r="B40" s="30" t="str">
        <x:v>temperature</x:v>
      </x:c>
      <x:c r="C40" s="30" t="str">
        <x:v>Bass River 3</x:v>
      </x:c>
      <x:c r="D40" s="30" t="str">
        <x:v>TEX86</x:v>
      </x:c>
      <x:c r="E40" s="34" t="n">
        <x:v>25</x:v>
      </x:c>
      <x:c r="F40" s="34" t="str">
        <x:v>K–Pg boundary-anchored biostratigraphic/interpolated section</x:v>
      </x:c>
      <x:c r="G40" s="34" t="str">
        <x:v>K–Pg-anchored New Jersey shelf age model using dinocyst/foraminiferal biostratigraphy, stratigraphic correlation, and interpolation</x:v>
      </x:c>
      <x:c r="H40" s="34" t="n">
        <x:v>0</x:v>
      </x:c>
      <x:c r="I40" s="34" t="n">
        <x:f>IF(H40=1,E40,0)</x:f>
        <x:v>0</x:v>
      </x:c>
      <x:c r="J40" s="34" t="n">
        <x:f>IF(H40=0,E40,0)</x:f>
        <x:v>25</x:v>
      </x:c>
      <x:c r="K40" s="30" t="str">
        <x:v>Fixed</x:v>
      </x:c>
      <x:c r="L40" s="30" t="str">
        <x:v>chronology::Bass_River_shared</x:v>
      </x:c>
      <x:c r="M40" s="30" t="str"/>
      <x:c r="N40" s="30" t="str">
        <x:v>fixed</x:v>
      </x:c>
      <x:c r="O40" s="34"/>
      <x:c r="P40" s="34"/>
      <x:c r="Q40" s="30" t="str">
        <x:v>kyr</x:v>
      </x:c>
      <x:c r="R40" s="30" t="str">
        <x:v>Not randomized</x:v>
      </x:c>
      <x:c r="S40" s="30" t="str">
        <x:v>Not applicable</x:v>
      </x:c>
      <x:c r="T40" s="30" t="str">
        <x:v>Common K–Pg absolute-timescale term is tracked separately and never redrawn by record.</x:v>
      </x:c>
      <x:c r="U40" s="30" t="str">
        <x:v>Common absolute-timescale systematic only</x:v>
      </x:c>
      <x:c r="V40" s="30" t="str">
        <x:v>The audited quantitative term is the common K–Pg absolute-age calibration; no transferable local interpolation/bioevent range was found.</x:v>
      </x:c>
      <x:c r="W40" s="30" t="str">
        <x:v>Esmeray-Senlet et al. (2015); Woelders et al. (2018)</x:v>
      </x:c>
      <x:c r="X40" s="30" t="str">
        <x:v>Common absolute-timescale and shared target-solution systematics are excluded from record-specific Layer B coverage.</x:v>
      </x:c>
      <x:c r="Y40" s="30" t="str">
        <x:v>Fixed in record-specific Layer B</x:v>
      </x:c>
      <x:c r="Z40" s="30" t="str">
        <x:v>Only common/shared systematic; no independent local timing bound</x:v>
      </x:c>
      <x:c r="AA40" s="30" t="str">
        <x:v>https://doi.org/10.1126/science.1230492</x:v>
      </x:c>
    </x:row>
    <x:row r="41" ht="19.200000762939453" hidden="0" customHeight="1">
      <x:c r="A41" s="31" t="str">
        <x:v>temperature::Bass River 4</x:v>
      </x:c>
      <x:c r="B41" s="31" t="str">
        <x:v>temperature</x:v>
      </x:c>
      <x:c r="C41" s="31" t="str">
        <x:v>Bass River 4</x:v>
      </x:c>
      <x:c r="D41" s="31" t="str">
        <x:v>Mg/Ca</x:v>
      </x:c>
      <x:c r="E41" s="35" t="n">
        <x:v>39</x:v>
      </x:c>
      <x:c r="F41" s="35" t="str">
        <x:v>K–Pg boundary-anchored biostratigraphic/interpolated section</x:v>
      </x:c>
      <x:c r="G41" s="35" t="str">
        <x:v>K–Pg-anchored New Jersey shelf age model using dinocyst/foraminiferal biostratigraphy, stratigraphic correlation, and interpolation</x:v>
      </x:c>
      <x:c r="H41" s="35" t="n">
        <x:v>0</x:v>
      </x:c>
      <x:c r="I41" s="35" t="n">
        <x:f>IF(H41=1,E41,0)</x:f>
        <x:v>0</x:v>
      </x:c>
      <x:c r="J41" s="35" t="n">
        <x:f>IF(H41=0,E41,0)</x:f>
        <x:v>39</x:v>
      </x:c>
      <x:c r="K41" s="31" t="str">
        <x:v>Fixed</x:v>
      </x:c>
      <x:c r="L41" s="31" t="str">
        <x:v>chronology::Bass_River_shared</x:v>
      </x:c>
      <x:c r="M41" s="31" t="str"/>
      <x:c r="N41" s="31" t="str">
        <x:v>fixed</x:v>
      </x:c>
      <x:c r="O41" s="35"/>
      <x:c r="P41" s="35"/>
      <x:c r="Q41" s="31" t="str">
        <x:v>kyr</x:v>
      </x:c>
      <x:c r="R41" s="31" t="str">
        <x:v>Not randomized</x:v>
      </x:c>
      <x:c r="S41" s="31" t="str">
        <x:v>Not applicable</x:v>
      </x:c>
      <x:c r="T41" s="31" t="str">
        <x:v>Common K–Pg absolute-timescale term is tracked separately and never redrawn by record.</x:v>
      </x:c>
      <x:c r="U41" s="31" t="str">
        <x:v>Common absolute-timescale systematic only</x:v>
      </x:c>
      <x:c r="V41" s="31" t="str">
        <x:v>The audited quantitative term is the common K–Pg absolute-age calibration; no transferable local interpolation/bioevent range was found.</x:v>
      </x:c>
      <x:c r="W41" s="31" t="str">
        <x:v>Esmeray-Senlet et al. (2015); Woelders et al. (2018)</x:v>
      </x:c>
      <x:c r="X41" s="31" t="str">
        <x:v>Common absolute-timescale and shared target-solution systematics are excluded from record-specific Layer B coverage.</x:v>
      </x:c>
      <x:c r="Y41" s="31" t="str">
        <x:v>Fixed in record-specific Layer B</x:v>
      </x:c>
      <x:c r="Z41" s="31" t="str">
        <x:v>Only common/shared systematic; no independent local timing bound</x:v>
      </x:c>
      <x:c r="AA41" s="31" t="str">
        <x:v>https://doi.org/10.1126/science.1230492</x:v>
      </x:c>
    </x:row>
    <x:row r="42" ht="15" hidden="0" customHeight="1">
      <x:c r="A42" s="30" t="str">
        <x:v>temperature::Brazos River</x:v>
      </x:c>
      <x:c r="B42" s="30" t="str">
        <x:v>temperature</x:v>
      </x:c>
      <x:c r="C42" s="30" t="str">
        <x:v>Brazos River</x:v>
      </x:c>
      <x:c r="D42" s="30" t="str">
        <x:v>TEX86</x:v>
      </x:c>
      <x:c r="E42" s="34" t="n">
        <x:v>54</x:v>
      </x:c>
      <x:c r="F42" s="34" t="str">
        <x:v>K–Pg boundary-anchored biostratigraphic/interpolated section</x:v>
      </x:c>
      <x:c r="G42" s="34" t="str">
        <x:v>K–Pg event/Ir horizon plus planktonic-foraminiferal, radiolarian, and dinocyst biostratigraphy</x:v>
      </x:c>
      <x:c r="H42" s="34" t="n">
        <x:v>0</x:v>
      </x:c>
      <x:c r="I42" s="34" t="n">
        <x:f>IF(H42=1,E42,0)</x:f>
        <x:v>0</x:v>
      </x:c>
      <x:c r="J42" s="34" t="n">
        <x:f>IF(H42=0,E42,0)</x:f>
        <x:v>54</x:v>
      </x:c>
      <x:c r="K42" s="30" t="str">
        <x:v>Fixed</x:v>
      </x:c>
      <x:c r="L42" s="30" t="str">
        <x:v>chronology::Brazos_River</x:v>
      </x:c>
      <x:c r="M42" s="30" t="str"/>
      <x:c r="N42" s="30" t="str">
        <x:v>fixed</x:v>
      </x:c>
      <x:c r="O42" s="34"/>
      <x:c r="P42" s="34"/>
      <x:c r="Q42" s="30" t="str">
        <x:v>kyr</x:v>
      </x:c>
      <x:c r="R42" s="30" t="str">
        <x:v>Not randomized</x:v>
      </x:c>
      <x:c r="S42" s="30" t="str">
        <x:v>Not applicable</x:v>
      </x:c>
      <x:c r="T42" s="30" t="str">
        <x:v>Common K–Pg absolute-timescale term is tracked separately and never redrawn by record.</x:v>
      </x:c>
      <x:c r="U42" s="30" t="str">
        <x:v>Common absolute-timescale systematic only</x:v>
      </x:c>
      <x:c r="V42" s="30" t="str">
        <x:v>The audited quantitative term is the common K–Pg absolute-age calibration; no transferable local interpolation/bioevent range was found.</x:v>
      </x:c>
      <x:c r="W42" s="30" t="str">
        <x:v>Vellekoop et al. (2014) and supplementary age model</x:v>
      </x:c>
      <x:c r="X42" s="30" t="str">
        <x:v>Common absolute-timescale and shared target-solution systematics are excluded from record-specific Layer B coverage.</x:v>
      </x:c>
      <x:c r="Y42" s="30" t="str">
        <x:v>Fixed in record-specific Layer B</x:v>
      </x:c>
      <x:c r="Z42" s="30" t="str">
        <x:v>Only common/shared systematic; no independent local timing bound</x:v>
      </x:c>
      <x:c r="AA42" s="30" t="str">
        <x:v>https://doi.org/10.1126/science.1230492</x:v>
      </x:c>
    </x:row>
    <x:row r="43" ht="15" hidden="0" customHeight="1">
      <x:c r="A43" s="31" t="str">
        <x:v>temperature::DSDP384</x:v>
      </x:c>
      <x:c r="B43" s="31" t="str">
        <x:v>temperature</x:v>
      </x:c>
      <x:c r="C43" s="31" t="str">
        <x:v>DSDP384</x:v>
      </x:c>
      <x:c r="D43" s="31" t="str">
        <x:v>Benthic</x:v>
      </x:c>
      <x:c r="E43" s="35" t="n">
        <x:v>13</x:v>
      </x:c>
      <x:c r="F43" s="35" t="str">
        <x:v>Segment/hiatus-related chronology</x:v>
      </x:c>
      <x:c r="G43" s="35" t="str">
        <x:v>Integrated magnetobiochronology and stable-isotope stratigraphy</x:v>
      </x:c>
      <x:c r="H43" s="35" t="n">
        <x:v>0</x:v>
      </x:c>
      <x:c r="I43" s="35" t="n">
        <x:f>IF(H43=1,E43,0)</x:f>
        <x:v>0</x:v>
      </x:c>
      <x:c r="J43" s="35" t="n">
        <x:f>IF(H43=0,E43,0)</x:f>
        <x:v>13</x:v>
      </x:c>
      <x:c r="K43" s="31" t="str">
        <x:v>Fixed</x:v>
      </x:c>
      <x:c r="L43" s="31" t="str">
        <x:v>chronology::DSDP384</x:v>
      </x:c>
      <x:c r="M43" s="31" t="str"/>
      <x:c r="N43" s="31" t="str">
        <x:v>fixed</x:v>
      </x:c>
      <x:c r="O43" s="35"/>
      <x:c r="P43" s="35"/>
      <x:c r="Q43" s="31" t="str">
        <x:v>kyr</x:v>
      </x:c>
      <x:c r="R43" s="31" t="str">
        <x:v>Not randomized</x:v>
      </x:c>
      <x:c r="S43" s="31" t="str">
        <x:v>Not applicable</x:v>
      </x:c>
      <x:c r="T43" s="31" t="str">
        <x:v>A discrete alternative age-depth/hiatus model would be required.</x:v>
      </x:c>
      <x:c r="U43" s="31" t="str">
        <x:v>Structural or hiatus-related chronology</x:v>
      </x:c>
      <x:c r="V43" s="31" t="str">
        <x:v>A documented gap, hiatus or disconformity is not converted into a symmetric timing error or a whole-record shift.</x:v>
      </x:c>
      <x:c r="W43" s="31" t="str">
        <x:v>Berggren &amp; Norris (1997); Berggren et al. (2000)</x:v>
      </x:c>
      <x:c r="X43" s="31" t="str">
        <x:v>Common absolute-timescale and shared target-solution systematics are excluded from record-specific Layer B coverage.</x:v>
      </x:c>
      <x:c r="Y43" s="31" t="str">
        <x:v>Not executable without an explicit alternative age-depth model</x:v>
      </x:c>
      <x:c r="Z43" s="31" t="str">
        <x:v>Hiatus/structural correction cannot be treated as a timing-error distribution</x:v>
      </x:c>
      <x:c r="AA43" s="31" t="str">
        <x:v>https://doi.org/10.1130/0091-7613(2000)28%3C1011:LMACSC%3E2.0.CO;2</x:v>
      </x:c>
    </x:row>
    <x:row r="44" ht="15" hidden="0" customHeight="1">
      <x:c r="A44" s="30" t="str">
        <x:v>temperature::DSDP525</x:v>
      </x:c>
      <x:c r="B44" s="30" t="str">
        <x:v>temperature</x:v>
      </x:c>
      <x:c r="C44" s="30" t="str">
        <x:v>DSDP525</x:v>
      </x:c>
      <x:c r="D44" s="30" t="str">
        <x:v>Benthic</x:v>
      </x:c>
      <x:c r="E44" s="34" t="n">
        <x:v>72</x:v>
      </x:c>
      <x:c r="F44" s="34" t="str">
        <x:v>Segment/hiatus-related chronology</x:v>
      </x:c>
      <x:c r="G44" s="34" t="str">
        <x:v>Magnetostratigraphy/biostratigraphy tied to the geomagnetic polarity timescale</x:v>
      </x:c>
      <x:c r="H44" s="34" t="n">
        <x:v>0</x:v>
      </x:c>
      <x:c r="I44" s="34" t="n">
        <x:f>IF(H44=1,E44,0)</x:f>
        <x:v>0</x:v>
      </x:c>
      <x:c r="J44" s="34" t="n">
        <x:f>IF(H44=0,E44,0)</x:f>
        <x:v>72</x:v>
      </x:c>
      <x:c r="K44" s="30" t="str">
        <x:v>Fixed</x:v>
      </x:c>
      <x:c r="L44" s="30" t="str">
        <x:v>chronology::DSDP525</x:v>
      </x:c>
      <x:c r="M44" s="30" t="str"/>
      <x:c r="N44" s="30" t="str">
        <x:v>fixed</x:v>
      </x:c>
      <x:c r="O44" s="34"/>
      <x:c r="P44" s="34"/>
      <x:c r="Q44" s="30" t="str">
        <x:v>kyr</x:v>
      </x:c>
      <x:c r="R44" s="30" t="str">
        <x:v>Not randomized</x:v>
      </x:c>
      <x:c r="S44" s="30" t="str">
        <x:v>Not applicable</x:v>
      </x:c>
      <x:c r="T44" s="30" t="str">
        <x:v>A discrete alternative age-depth/hiatus model would be required.</x:v>
      </x:c>
      <x:c r="U44" s="30" t="str">
        <x:v>Structural or hiatus-related chronology</x:v>
      </x:c>
      <x:c r="V44" s="30" t="str">
        <x:v>A documented gap, hiatus or disconformity is not converted into a symmetric timing error or a whole-record shift.</x:v>
      </x:c>
      <x:c r="W44" s="30" t="str">
        <x:v>Li &amp; Keller (1998); Cande &amp; Kent (1995); Hull et al. (2020)</x:v>
      </x:c>
      <x:c r="X44" s="30" t="str">
        <x:v>Common absolute-timescale and shared target-solution systematics are excluded from record-specific Layer B coverage.</x:v>
      </x:c>
      <x:c r="Y44" s="30" t="str">
        <x:v>Not executable without an explicit alternative age-depth model</x:v>
      </x:c>
      <x:c r="Z44" s="30" t="str">
        <x:v>Hiatus/structural correction cannot be treated as a timing-error distribution</x:v>
      </x:c>
      <x:c r="AA44" s="30" t="str">
        <x:v>https://geoweb.princeton.edu/archival/keller/Li_and_Keller_1998_Geol_525.pdf</x:v>
      </x:c>
    </x:row>
    <x:row r="45" ht="15" hidden="0" customHeight="1">
      <x:c r="A45" s="31" t="str">
        <x:v>temperature::DSDP525 2</x:v>
      </x:c>
      <x:c r="B45" s="31" t="str">
        <x:v>temperature</x:v>
      </x:c>
      <x:c r="C45" s="31" t="str">
        <x:v>DSDP525 2</x:v>
      </x:c>
      <x:c r="D45" s="31" t="str">
        <x:v>Planktonic</x:v>
      </x:c>
      <x:c r="E45" s="35" t="n">
        <x:v>71</x:v>
      </x:c>
      <x:c r="F45" s="35" t="str">
        <x:v>Segment/hiatus-related chronology</x:v>
      </x:c>
      <x:c r="G45" s="35" t="str">
        <x:v>Same DSDP 525 magnetobiochronologic/GPTS framework</x:v>
      </x:c>
      <x:c r="H45" s="35" t="n">
        <x:v>0</x:v>
      </x:c>
      <x:c r="I45" s="35" t="n">
        <x:f>IF(H45=1,E45,0)</x:f>
        <x:v>0</x:v>
      </x:c>
      <x:c r="J45" s="35" t="n">
        <x:f>IF(H45=0,E45,0)</x:f>
        <x:v>71</x:v>
      </x:c>
      <x:c r="K45" s="31" t="str">
        <x:v>Fixed</x:v>
      </x:c>
      <x:c r="L45" s="31" t="str">
        <x:v>chronology::DSDP525_2</x:v>
      </x:c>
      <x:c r="M45" s="31" t="str"/>
      <x:c r="N45" s="31" t="str">
        <x:v>fixed</x:v>
      </x:c>
      <x:c r="O45" s="35"/>
      <x:c r="P45" s="35"/>
      <x:c r="Q45" s="31" t="str">
        <x:v>kyr</x:v>
      </x:c>
      <x:c r="R45" s="31" t="str">
        <x:v>Not randomized</x:v>
      </x:c>
      <x:c r="S45" s="31" t="str">
        <x:v>Not applicable</x:v>
      </x:c>
      <x:c r="T45" s="31" t="str">
        <x:v>A discrete alternative age-depth/hiatus model would be required.</x:v>
      </x:c>
      <x:c r="U45" s="31" t="str">
        <x:v>Structural or hiatus-related chronology</x:v>
      </x:c>
      <x:c r="V45" s="31" t="str">
        <x:v>A documented gap, hiatus or disconformity is not converted into a symmetric timing error or a whole-record shift.</x:v>
      </x:c>
      <x:c r="W45" s="31" t="str">
        <x:v>Li &amp; Keller (1998); Cande &amp; Kent (1995); Hull et al. (2020)</x:v>
      </x:c>
      <x:c r="X45" s="31" t="str">
        <x:v>Common absolute-timescale and shared target-solution systematics are excluded from record-specific Layer B coverage.</x:v>
      </x:c>
      <x:c r="Y45" s="31" t="str">
        <x:v>Not executable without an explicit alternative age-depth model</x:v>
      </x:c>
      <x:c r="Z45" s="31" t="str">
        <x:v>Hiatus/structural correction cannot be treated as a timing-error distribution</x:v>
      </x:c>
      <x:c r="AA45" s="31" t="str">
        <x:v>https://geoweb.princeton.edu/archival/keller/Li_and_Keller_1998_Geol_525.pdf</x:v>
      </x:c>
    </x:row>
    <x:row r="46" ht="19.200000762939453" hidden="0" customHeight="1">
      <x:c r="A46" s="30" t="str">
        <x:v>temperature::DSDP528</x:v>
      </x:c>
      <x:c r="B46" s="30" t="str">
        <x:v>temperature</x:v>
      </x:c>
      <x:c r="C46" s="30" t="str">
        <x:v>DSDP528</x:v>
      </x:c>
      <x:c r="D46" s="30" t="str">
        <x:v>Benthic</x:v>
      </x:c>
      <x:c r="E46" s="34" t="n">
        <x:v>16</x:v>
      </x:c>
      <x:c r="F46" s="34" t="str">
        <x:v>Magnetostratigraphy/biostratigraphy without quantitative local bounds</x:v>
      </x:c>
      <x:c r="G46" s="34" t="str">
        <x:v>Published magnetobiochronologic age–depth estimates; interpolation of stratigraphic age controls</x:v>
      </x:c>
      <x:c r="H46" s="34" t="n">
        <x:v>0</x:v>
      </x:c>
      <x:c r="I46" s="34" t="n">
        <x:f>IF(H46=1,E46,0)</x:f>
        <x:v>0</x:v>
      </x:c>
      <x:c r="J46" s="34" t="n">
        <x:f>IF(H46=0,E46,0)</x:f>
        <x:v>16</x:v>
      </x:c>
      <x:c r="K46" s="30" t="str">
        <x:v>Fixed</x:v>
      </x:c>
      <x:c r="L46" s="30" t="str">
        <x:v>chronology::DSDP528</x:v>
      </x:c>
      <x:c r="M46" s="30" t="str"/>
      <x:c r="N46" s="30" t="str">
        <x:v>fixed</x:v>
      </x:c>
      <x:c r="O46" s="34"/>
      <x:c r="P46" s="34"/>
      <x:c r="Q46" s="30" t="str">
        <x:v>kyr</x:v>
      </x:c>
      <x:c r="R46" s="30" t="str">
        <x:v>Not randomized</x:v>
      </x:c>
      <x:c r="S46" s="30" t="str">
        <x:v>Not applicable</x:v>
      </x:c>
      <x:c r="T46" s="30" t="str">
        <x:v>Retain central ages until source-specific control-point bounds or alternative models are available.</x:v>
      </x:c>
      <x:c r="U46" s="30" t="str">
        <x:v>Method identified; no defensible transferable quantitative local range</x:v>
      </x:c>
      <x:c r="V46" s="30" t="str">
        <x:v>Method literature requires record-specific reversal/event depths, dated-horizon errors, local sedimentation constraints or alternative correlations; these cannot be inferred from the retained age sequence.</x:v>
      </x:c>
      <x:c r="W46" s="30" t="str">
        <x:v>D'Hondt &amp; Lindinger (1994); PANGAEA 703721</x:v>
      </x:c>
      <x:c r="X46" s="30" t="str">
        <x:v>Common absolute-timescale and shared target-solution systematics are excluded from record-specific Layer B coverage.</x:v>
      </x:c>
      <x:c r="Y46" s="30" t="str">
        <x:v>Fixed</x:v>
      </x:c>
      <x:c r="Z46" s="30" t="str">
        <x:v>Method identifiable but quantitative local controls remain unavailable</x:v>
      </x:c>
      <x:c r="AA46" s="30" t="str">
        <x:v>See record-specific chronology sources in the source audit</x:v>
      </x:c>
    </x:row>
    <x:row r="47" ht="19.200000762939453" hidden="0" customHeight="1">
      <x:c r="A47" s="31" t="str">
        <x:v>temperature::DSDP577</x:v>
      </x:c>
      <x:c r="B47" s="31" t="str">
        <x:v>temperature</x:v>
      </x:c>
      <x:c r="C47" s="31" t="str">
        <x:v>DSDP577</x:v>
      </x:c>
      <x:c r="D47" s="31" t="str">
        <x:v>Benthic</x:v>
      </x:c>
      <x:c r="E47" s="35" t="n">
        <x:v>9</x:v>
      </x:c>
      <x:c r="F47" s="35" t="str">
        <x:v>Magnetostratigraphy/biostratigraphy without quantitative local bounds</x:v>
      </x:c>
      <x:c r="G47" s="35" t="str">
        <x:v>Bio- and magnetostratigraphic age model with extrapolation where lower magnetochron control is absent</x:v>
      </x:c>
      <x:c r="H47" s="35" t="n">
        <x:v>0</x:v>
      </x:c>
      <x:c r="I47" s="35" t="n">
        <x:f>IF(H47=1,E47,0)</x:f>
        <x:v>0</x:v>
      </x:c>
      <x:c r="J47" s="35" t="n">
        <x:f>IF(H47=0,E47,0)</x:f>
        <x:v>9</x:v>
      </x:c>
      <x:c r="K47" s="31" t="str">
        <x:v>Fixed</x:v>
      </x:c>
      <x:c r="L47" s="31" t="str">
        <x:v>chronology::DSDP577</x:v>
      </x:c>
      <x:c r="M47" s="31" t="str"/>
      <x:c r="N47" s="31" t="str">
        <x:v>fixed</x:v>
      </x:c>
      <x:c r="O47" s="35"/>
      <x:c r="P47" s="35"/>
      <x:c r="Q47" s="31" t="str">
        <x:v>kyr</x:v>
      </x:c>
      <x:c r="R47" s="31" t="str">
        <x:v>Not randomized</x:v>
      </x:c>
      <x:c r="S47" s="31" t="str">
        <x:v>Not applicable</x:v>
      </x:c>
      <x:c r="T47" s="31" t="str">
        <x:v>Retain central ages until source-specific control-point bounds or alternative models are available.</x:v>
      </x:c>
      <x:c r="U47" s="31" t="str">
        <x:v>Method identified; no defensible transferable quantitative local range</x:v>
      </x:c>
      <x:c r="V47" s="31" t="str">
        <x:v>Method literature requires record-specific reversal/event depths, dated-horizon errors, local sedimentation constraints or alternative correlations; these cannot be inferred from the retained age sequence.</x:v>
      </x:c>
      <x:c r="W47" s="31" t="str">
        <x:v>Zachos et al. (1985); Hull et al. (2020) supplementary age-model review</x:v>
      </x:c>
      <x:c r="X47" s="31" t="str">
        <x:v>Common absolute-timescale and shared target-solution systematics are excluded from record-specific Layer B coverage.</x:v>
      </x:c>
      <x:c r="Y47" s="31" t="str">
        <x:v>Fixed</x:v>
      </x:c>
      <x:c r="Z47" s="31" t="str">
        <x:v>Method identifiable but quantitative local controls remain unavailable</x:v>
      </x:c>
      <x:c r="AA47" s="31" t="str">
        <x:v>See record-specific chronology sources in the source audit</x:v>
      </x:c>
    </x:row>
    <x:row r="48" ht="15" hidden="0" customHeight="1">
      <x:c r="A48" s="30" t="str">
        <x:v>temperature::EI Kef</x:v>
      </x:c>
      <x:c r="B48" s="30" t="str">
        <x:v>temperature</x:v>
      </x:c>
      <x:c r="C48" s="30" t="str">
        <x:v>EI Kef</x:v>
      </x:c>
      <x:c r="D48" s="30" t="str">
        <x:v>Phosphate d18O in teeth</x:v>
      </x:c>
      <x:c r="E48" s="34" t="n">
        <x:v>40</x:v>
      </x:c>
      <x:c r="F48" s="34" t="str">
        <x:v>K–Pg boundary-anchored biostratigraphic/interpolated section</x:v>
      </x:c>
      <x:c r="G48" s="34" t="str">
        <x:v>Foraminiferal event age–depth model dated relative to the K–Pg boundary; linear interpolation</x:v>
      </x:c>
      <x:c r="H48" s="34" t="n">
        <x:v>0</x:v>
      </x:c>
      <x:c r="I48" s="34" t="n">
        <x:f>IF(H48=1,E48,0)</x:f>
        <x:v>0</x:v>
      </x:c>
      <x:c r="J48" s="34" t="n">
        <x:f>IF(H48=0,E48,0)</x:f>
        <x:v>40</x:v>
      </x:c>
      <x:c r="K48" s="30" t="str">
        <x:v>Fixed</x:v>
      </x:c>
      <x:c r="L48" s="30" t="str">
        <x:v>chronology::EI_Kef</x:v>
      </x:c>
      <x:c r="M48" s="30" t="str"/>
      <x:c r="N48" s="30" t="str">
        <x:v>fixed</x:v>
      </x:c>
      <x:c r="O48" s="34"/>
      <x:c r="P48" s="34"/>
      <x:c r="Q48" s="30" t="str">
        <x:v>kyr</x:v>
      </x:c>
      <x:c r="R48" s="30" t="str">
        <x:v>Not randomized</x:v>
      </x:c>
      <x:c r="S48" s="30" t="str">
        <x:v>Not applicable</x:v>
      </x:c>
      <x:c r="T48" s="30" t="str">
        <x:v>Common K–Pg absolute-timescale term is tracked separately and never redrawn by record.</x:v>
      </x:c>
      <x:c r="U48" s="30" t="str">
        <x:v>Common absolute-timescale systematic only</x:v>
      </x:c>
      <x:c r="V48" s="30" t="str">
        <x:v>The audited quantitative term is the common K–Pg absolute-age calibration; no transferable local interpolation/bioevent range was found.</x:v>
      </x:c>
      <x:c r="W48" s="30" t="str">
        <x:v>MacLeod et al. (2018) and cited foraminiferal event chronology</x:v>
      </x:c>
      <x:c r="X48" s="30" t="str">
        <x:v>Common absolute-timescale and shared target-solution systematics are excluded from record-specific Layer B coverage.</x:v>
      </x:c>
      <x:c r="Y48" s="30" t="str">
        <x:v>Fixed in record-specific Layer B</x:v>
      </x:c>
      <x:c r="Z48" s="30" t="str">
        <x:v>Only common/shared systematic; no independent local timing bound</x:v>
      </x:c>
      <x:c r="AA48" s="30" t="str">
        <x:v>https://doi.org/10.1126/science.1230492</x:v>
      </x:c>
    </x:row>
    <x:row r="49" ht="19.200000762939453" hidden="0" customHeight="1">
      <x:c r="A49" s="31" t="str">
        <x:v>temperature::Garfield County</x:v>
      </x:c>
      <x:c r="B49" s="31" t="str">
        <x:v>temperature</x:v>
      </x:c>
      <x:c r="C49" s="31" t="str">
        <x:v>Garfield County</x:v>
      </x:c>
      <x:c r="D49" s="31" t="str">
        <x:v>Clumped isotope</x:v>
      </x:c>
      <x:c r="E49" s="35" t="n">
        <x:v>10</x:v>
      </x:c>
      <x:c r="F49" s="35" t="str">
        <x:v>Mixed terrestrial radiometric/magneto-/biostratigraphic chronology</x:v>
      </x:c>
      <x:c r="G49" s="35" t="str">
        <x:v>Terrestrial section stratigraphy and K–Pg contact correlation; relative sample ages</x:v>
      </x:c>
      <x:c r="H49" s="35" t="n">
        <x:v>0</x:v>
      </x:c>
      <x:c r="I49" s="35" t="n">
        <x:f>IF(H49=1,E49,0)</x:f>
        <x:v>0</x:v>
      </x:c>
      <x:c r="J49" s="35" t="n">
        <x:f>IF(H49=0,E49,0)</x:f>
        <x:v>10</x:v>
      </x:c>
      <x:c r="K49" s="31" t="str">
        <x:v>Fixed</x:v>
      </x:c>
      <x:c r="L49" s="31" t="str">
        <x:v>chronology::Garfield_County</x:v>
      </x:c>
      <x:c r="M49" s="31" t="str"/>
      <x:c r="N49" s="31" t="str">
        <x:v>fixed</x:v>
      </x:c>
      <x:c r="O49" s="35"/>
      <x:c r="P49" s="35"/>
      <x:c r="Q49" s="31" t="str">
        <x:v>kyr</x:v>
      </x:c>
      <x:c r="R49" s="31" t="str">
        <x:v>Not randomized</x:v>
      </x:c>
      <x:c r="S49" s="31" t="str">
        <x:v>Not applicable</x:v>
      </x:c>
      <x:c r="T49" s="31" t="str">
        <x:v>Retain central ages until source-specific control-point bounds or alternative models are available.</x:v>
      </x:c>
      <x:c r="U49" s="31" t="str">
        <x:v>Method identified; no defensible transferable quantitative local range</x:v>
      </x:c>
      <x:c r="V49" s="31" t="str">
        <x:v>Method literature requires record-specific reversal/event depths, dated-horizon errors, local sedimentation constraints or alternative correlations; these cannot be inferred from the retained age sequence.</x:v>
      </x:c>
      <x:c r="W49" s="31" t="str">
        <x:v>Tobin et al. (2014) and cited Hell Creek/Fort Union chronology</x:v>
      </x:c>
      <x:c r="X49" s="31" t="str">
        <x:v>Common absolute-timescale and shared target-solution systematics are excluded from record-specific Layer B coverage.</x:v>
      </x:c>
      <x:c r="Y49" s="31" t="str">
        <x:v>Fixed</x:v>
      </x:c>
      <x:c r="Z49" s="31" t="str">
        <x:v>Method identifiable but quantitative local controls remain unavailable</x:v>
      </x:c>
      <x:c r="AA49" s="31" t="str">
        <x:v>See record-specific chronology sources in the source audit</x:v>
      </x:c>
    </x:row>
    <x:row r="50" ht="15" hidden="0" customHeight="1">
      <x:c r="A50" s="30" t="str">
        <x:v>temperature::Haymana Basin</x:v>
      </x:c>
      <x:c r="B50" s="30" t="str">
        <x:v>temperature</x:v>
      </x:c>
      <x:c r="C50" s="30" t="str">
        <x:v>Haymana Basin</x:v>
      </x:c>
      <x:c r="D50" s="30" t="str">
        <x:v>Planktonic</x:v>
      </x:c>
      <x:c r="E50" s="34" t="n">
        <x:v>46</x:v>
      </x:c>
      <x:c r="F50" s="34" t="str">
        <x:v>K–Pg boundary-anchored biostratigraphic/interpolated section</x:v>
      </x:c>
      <x:c r="G50" s="34" t="str">
        <x:v>Planktonic-foraminiferal biozonation and K–Pg extinction/boundary horizon; relative age assignment</x:v>
      </x:c>
      <x:c r="H50" s="34" t="n">
        <x:v>0</x:v>
      </x:c>
      <x:c r="I50" s="34" t="n">
        <x:f>IF(H50=1,E50,0)</x:f>
        <x:v>0</x:v>
      </x:c>
      <x:c r="J50" s="34" t="n">
        <x:f>IF(H50=0,E50,0)</x:f>
        <x:v>46</x:v>
      </x:c>
      <x:c r="K50" s="30" t="str">
        <x:v>Fixed</x:v>
      </x:c>
      <x:c r="L50" s="30" t="str">
        <x:v>chronology::Haymana_shared</x:v>
      </x:c>
      <x:c r="M50" s="30" t="str"/>
      <x:c r="N50" s="30" t="str">
        <x:v>fixed</x:v>
      </x:c>
      <x:c r="O50" s="34"/>
      <x:c r="P50" s="34"/>
      <x:c r="Q50" s="30" t="str">
        <x:v>kyr</x:v>
      </x:c>
      <x:c r="R50" s="30" t="str">
        <x:v>Not randomized</x:v>
      </x:c>
      <x:c r="S50" s="30" t="str">
        <x:v>Not applicable</x:v>
      </x:c>
      <x:c r="T50" s="30" t="str">
        <x:v>Common K–Pg absolute-timescale term is tracked separately and never redrawn by record.</x:v>
      </x:c>
      <x:c r="U50" s="30" t="str">
        <x:v>Common absolute-timescale systematic only</x:v>
      </x:c>
      <x:c r="V50" s="30" t="str">
        <x:v>The audited quantitative term is the common K–Pg absolute-age calibration; no transferable local interpolation/bioevent range was found.</x:v>
      </x:c>
      <x:c r="W50" s="30" t="str">
        <x:v>Olsson et al. (2001); Esmeray-Senlet et al. (2015)</x:v>
      </x:c>
      <x:c r="X50" s="30" t="str">
        <x:v>Common absolute-timescale and shared target-solution systematics are excluded from record-specific Layer B coverage.</x:v>
      </x:c>
      <x:c r="Y50" s="30" t="str">
        <x:v>Fixed in record-specific Layer B</x:v>
      </x:c>
      <x:c r="Z50" s="30" t="str">
        <x:v>Only common/shared systematic; no independent local timing bound</x:v>
      </x:c>
      <x:c r="AA50" s="30" t="str">
        <x:v>https://doi.org/10.1126/science.1230492</x:v>
      </x:c>
    </x:row>
    <x:row r="51" ht="15" hidden="0" customHeight="1">
      <x:c r="A51" s="31" t="str">
        <x:v>temperature::Haymana Basin 2</x:v>
      </x:c>
      <x:c r="B51" s="31" t="str">
        <x:v>temperature</x:v>
      </x:c>
      <x:c r="C51" s="31" t="str">
        <x:v>Haymana Basin 2</x:v>
      </x:c>
      <x:c r="D51" s="31" t="str">
        <x:v>Benthic</x:v>
      </x:c>
      <x:c r="E51" s="35" t="n">
        <x:v>24</x:v>
      </x:c>
      <x:c r="F51" s="35" t="str">
        <x:v>K–Pg boundary-anchored biostratigraphic/interpolated section</x:v>
      </x:c>
      <x:c r="G51" s="35" t="str">
        <x:v>Planktonic-foraminiferal biozonation and K–Pg extinction/boundary horizon; relative age assignment</x:v>
      </x:c>
      <x:c r="H51" s="35" t="n">
        <x:v>0</x:v>
      </x:c>
      <x:c r="I51" s="35" t="n">
        <x:f>IF(H51=1,E51,0)</x:f>
        <x:v>0</x:v>
      </x:c>
      <x:c r="J51" s="35" t="n">
        <x:f>IF(H51=0,E51,0)</x:f>
        <x:v>24</x:v>
      </x:c>
      <x:c r="K51" s="31" t="str">
        <x:v>Fixed</x:v>
      </x:c>
      <x:c r="L51" s="31" t="str">
        <x:v>chronology::Haymana_shared</x:v>
      </x:c>
      <x:c r="M51" s="31" t="str"/>
      <x:c r="N51" s="31" t="str">
        <x:v>fixed</x:v>
      </x:c>
      <x:c r="O51" s="35"/>
      <x:c r="P51" s="35"/>
      <x:c r="Q51" s="31" t="str">
        <x:v>kyr</x:v>
      </x:c>
      <x:c r="R51" s="31" t="str">
        <x:v>Not randomized</x:v>
      </x:c>
      <x:c r="S51" s="31" t="str">
        <x:v>Not applicable</x:v>
      </x:c>
      <x:c r="T51" s="31" t="str">
        <x:v>Common K–Pg absolute-timescale term is tracked separately and never redrawn by record.</x:v>
      </x:c>
      <x:c r="U51" s="31" t="str">
        <x:v>Common absolute-timescale systematic only</x:v>
      </x:c>
      <x:c r="V51" s="31" t="str">
        <x:v>The audited quantitative term is the common K–Pg absolute-age calibration; no transferable local interpolation/bioevent range was found.</x:v>
      </x:c>
      <x:c r="W51" s="31" t="str">
        <x:v>Olsson et al. (2001); Esmeray-Senlet et al. (2015)</x:v>
      </x:c>
      <x:c r="X51" s="31" t="str">
        <x:v>Common absolute-timescale and shared target-solution systematics are excluded from record-specific Layer B coverage.</x:v>
      </x:c>
      <x:c r="Y51" s="31" t="str">
        <x:v>Fixed in record-specific Layer B</x:v>
      </x:c>
      <x:c r="Z51" s="31" t="str">
        <x:v>Only common/shared systematic; no independent local timing bound</x:v>
      </x:c>
      <x:c r="AA51" s="31" t="str">
        <x:v>https://doi.org/10.1126/science.1230492</x:v>
      </x:c>
    </x:row>
    <x:row r="52" ht="15" hidden="0" customHeight="1">
      <x:c r="A52" s="30" t="str">
        <x:v>temperature::Meirs Farm</x:v>
      </x:c>
      <x:c r="B52" s="30" t="str">
        <x:v>temperature</x:v>
      </x:c>
      <x:c r="C52" s="30" t="str">
        <x:v>Meirs Farm</x:v>
      </x:c>
      <x:c r="D52" s="30" t="str">
        <x:v>TEX86</x:v>
      </x:c>
      <x:c r="E52" s="34" t="n">
        <x:v>44</x:v>
      </x:c>
      <x:c r="F52" s="34" t="str">
        <x:v>K–Pg boundary-anchored biostratigraphic/interpolated section</x:v>
      </x:c>
      <x:c r="G52" s="34" t="str">
        <x:v>High-resolution biostratigraphy tied to GTS2012 and the K–Pg boundary</x:v>
      </x:c>
      <x:c r="H52" s="34" t="n">
        <x:v>0</x:v>
      </x:c>
      <x:c r="I52" s="34" t="n">
        <x:f>IF(H52=1,E52,0)</x:f>
        <x:v>0</x:v>
      </x:c>
      <x:c r="J52" s="34" t="n">
        <x:f>IF(H52=0,E52,0)</x:f>
        <x:v>44</x:v>
      </x:c>
      <x:c r="K52" s="30" t="str">
        <x:v>Fixed</x:v>
      </x:c>
      <x:c r="L52" s="30" t="str">
        <x:v>chronology::Meirs_Farm</x:v>
      </x:c>
      <x:c r="M52" s="30" t="str"/>
      <x:c r="N52" s="30" t="str">
        <x:v>fixed</x:v>
      </x:c>
      <x:c r="O52" s="34"/>
      <x:c r="P52" s="34"/>
      <x:c r="Q52" s="30" t="str">
        <x:v>kyr</x:v>
      </x:c>
      <x:c r="R52" s="30" t="str">
        <x:v>Not randomized</x:v>
      </x:c>
      <x:c r="S52" s="30" t="str">
        <x:v>Not applicable</x:v>
      </x:c>
      <x:c r="T52" s="30" t="str">
        <x:v>Common K–Pg absolute-timescale term is tracked separately and never redrawn by record.</x:v>
      </x:c>
      <x:c r="U52" s="30" t="str">
        <x:v>Common absolute-timescale systematic only</x:v>
      </x:c>
      <x:c r="V52" s="30" t="str">
        <x:v>The audited quantitative term is the common K–Pg absolute-age calibration; no transferable local interpolation/bioevent range was found.</x:v>
      </x:c>
      <x:c r="W52" s="30" t="str">
        <x:v>Vellekoop et al. (2016)</x:v>
      </x:c>
      <x:c r="X52" s="30" t="str">
        <x:v>Common absolute-timescale and shared target-solution systematics are excluded from record-specific Layer B coverage.</x:v>
      </x:c>
      <x:c r="Y52" s="30" t="str">
        <x:v>Fixed in record-specific Layer B</x:v>
      </x:c>
      <x:c r="Z52" s="30" t="str">
        <x:v>Only common/shared systematic; no independent local timing bound</x:v>
      </x:c>
      <x:c r="AA52" s="30" t="str">
        <x:v>https://doi.org/10.1126/science.1230492</x:v>
      </x:c>
    </x:row>
    <x:row r="53" ht="19.200000762939453" hidden="0" customHeight="1">
      <x:c r="A53" s="31" t="str">
        <x:v>temperature::ODP1049</x:v>
      </x:c>
      <x:c r="B53" s="31" t="str">
        <x:v>temperature</x:v>
      </x:c>
      <x:c r="C53" s="31" t="str">
        <x:v>ODP1049</x:v>
      </x:c>
      <x:c r="D53" s="31" t="str">
        <x:v>Benthic</x:v>
      </x:c>
      <x:c r="E53" s="35" t="n">
        <x:v>76</x:v>
      </x:c>
      <x:c r="F53" s="35" t="str">
        <x:v>Magnetostratigraphy/biostratigraphy without quantitative local bounds</x:v>
      </x:c>
      <x:c r="G53" s="35" t="str">
        <x:v>Biostratigraphic/magnetostratigraphic event ages with interpolation around the K–Pg boundary</x:v>
      </x:c>
      <x:c r="H53" s="35" t="n">
        <x:v>0</x:v>
      </x:c>
      <x:c r="I53" s="35" t="n">
        <x:f>IF(H53=1,E53,0)</x:f>
        <x:v>0</x:v>
      </x:c>
      <x:c r="J53" s="35" t="n">
        <x:f>IF(H53=0,E53,0)</x:f>
        <x:v>76</x:v>
      </x:c>
      <x:c r="K53" s="31" t="str">
        <x:v>Fixed</x:v>
      </x:c>
      <x:c r="L53" s="31" t="str">
        <x:v>chronology::ODP1049</x:v>
      </x:c>
      <x:c r="M53" s="31" t="str"/>
      <x:c r="N53" s="31" t="str">
        <x:v>fixed</x:v>
      </x:c>
      <x:c r="O53" s="35"/>
      <x:c r="P53" s="35"/>
      <x:c r="Q53" s="31" t="str">
        <x:v>kyr</x:v>
      </x:c>
      <x:c r="R53" s="31" t="str">
        <x:v>Not randomized</x:v>
      </x:c>
      <x:c r="S53" s="31" t="str">
        <x:v>Not applicable</x:v>
      </x:c>
      <x:c r="T53" s="31" t="str">
        <x:v>Retain central ages until source-specific control-point bounds or alternative models are available.</x:v>
      </x:c>
      <x:c r="U53" s="31" t="str">
        <x:v>Method identified; no defensible transferable quantitative local range</x:v>
      </x:c>
      <x:c r="V53" s="31" t="str">
        <x:v>Method literature requires record-specific reversal/event depths, dated-horizon errors, local sedimentation constraints or alternative correlations; these cannot be inferred from the retained age sequence.</x:v>
      </x:c>
      <x:c r="W53" s="31" t="str">
        <x:v>Quillévéré et al. (2008) and cited Blake Nose chronology</x:v>
      </x:c>
      <x:c r="X53" s="31" t="str">
        <x:v>Common absolute-timescale and shared target-solution systematics are excluded from record-specific Layer B coverage.</x:v>
      </x:c>
      <x:c r="Y53" s="31" t="str">
        <x:v>Fixed</x:v>
      </x:c>
      <x:c r="Z53" s="31" t="str">
        <x:v>Method identifiable but quantitative local controls remain unavailable</x:v>
      </x:c>
      <x:c r="AA53" s="31" t="str">
        <x:v>See record-specific chronology sources in the source audit</x:v>
      </x:c>
    </x:row>
    <x:row r="54" ht="19.200000762939453" hidden="0" customHeight="1">
      <x:c r="A54" s="30" t="str">
        <x:v>temperature::ODP1209</x:v>
      </x:c>
      <x:c r="B54" s="30" t="str">
        <x:v>temperature</x:v>
      </x:c>
      <x:c r="C54" s="30" t="str">
        <x:v>ODP1209</x:v>
      </x:c>
      <x:c r="D54" s="30" t="str">
        <x:v>Benthic</x:v>
      </x:c>
      <x:c r="E54" s="34" t="n">
        <x:v>175</x:v>
      </x:c>
      <x:c r="F54" s="34" t="str">
        <x:v>Astronomical/cyclostratigraphic tuning</x:v>
      </x:c>
      <x:c r="G54" s="34" t="str">
        <x:v>Cyclostratigraphic/astronomical tuning with 405-kyr eccentricity framework and K–Pg anchor; latest Maastrichtian extension</x:v>
      </x:c>
      <x:c r="H54" s="34" t="n">
        <x:v>1</x:v>
      </x:c>
      <x:c r="I54" s="34" t="n">
        <x:f>IF(H54=1,E54,0)</x:f>
        <x:v>175</x:v>
      </x:c>
      <x:c r="J54" s="34" t="n">
        <x:f>IF(H54=0,E54,0)</x:f>
        <x:v>0</x:v>
      </x:c>
      <x:c r="K54" s="30" t="str">
        <x:v>Primary retained</x:v>
      </x:c>
      <x:c r="L54" s="30" t="str">
        <x:v>chronology::ODP1209_shared</x:v>
      </x:c>
      <x:c r="M54" s="30" t="str">
        <x:v>CHR-P1-ODP1209-SHATSKY</x:v>
      </x:c>
      <x:c r="N54" s="30" t="str">
        <x:v>shared chronology-group whole-record shift</x:v>
      </x:c>
      <x:c r="O54" s="34" t="n">
        <x:v>-87</x:v>
      </x:c>
      <x:c r="P54" s="34" t="n">
        <x:v>87</x:v>
      </x:c>
      <x:c r="Q54" s="30" t="str">
        <x:v>kyr</x:v>
      </x:c>
      <x:c r="R54" s="30" t="str">
        <x:v>Bounded Uniform(-87,+87 kyr)</x:v>
      </x:c>
      <x:c r="S54" s="30" t="str">
        <x:v>Whole retained record</x:v>
      </x:c>
      <x:c r="T54" s="30" t="str">
        <x:v>One common ΔShatsky for every ODP 1209 member; ODP 1210 Layer B members reuse the same draw.</x:v>
      </x:c>
      <x:c r="U54" s="30" t="str">
        <x:v>Direct site-specific empirical mismatch / conservative bound</x:v>
      </x:c>
      <x:c r="V54" s="30" t="str">
        <x:v>Published ~87-kyr Shatsky–Walvis mismatch; retained as a conservative site-level stress bound, not a confidence interval.</x:v>
      </x:c>
      <x:c r="W54" s="30" t="str">
        <x:v>Dinarès-Turell et al. (2014); Westerhold et al. (2011); Woelders et al. (2017); Hull et al. (2020)</x:v>
      </x:c>
      <x:c r="X54" s="30" t="str">
        <x:v>Common absolute-timescale and shared target-solution systematics are excluded from record-specific Layer B coverage.</x:v>
      </x:c>
      <x:c r="Y54" s="30" t="str">
        <x:v>Executable</x:v>
      </x:c>
      <x:c r="Z54" s="30" t="str"/>
      <x:c r="AA54" s="30" t="str">
        <x:v>https://www.theqstorm.org/data/aay5055_hull_sm.pdf</x:v>
      </x:c>
    </x:row>
    <x:row r="55" ht="19.200000762939453" hidden="0" customHeight="1">
      <x:c r="A55" s="31" t="str">
        <x:v>temperature::ODP1262 2</x:v>
      </x:c>
      <x:c r="B55" s="31" t="str">
        <x:v>temperature</x:v>
      </x:c>
      <x:c r="C55" s="31" t="str">
        <x:v>ODP1262 2</x:v>
      </x:c>
      <x:c r="D55" s="31" t="str">
        <x:v>Planktonic</x:v>
      </x:c>
      <x:c r="E55" s="35" t="n">
        <x:v>16</x:v>
      </x:c>
      <x:c r="F55" s="35" t="str">
        <x:v>Astronomical/cyclostratigraphic tuning</x:v>
      </x:c>
      <x:c r="G55" s="35" t="str">
        <x:v>405-kyr orbital tuning correlated to La2010b, with published tie points and K–Pg anchor</x:v>
      </x:c>
      <x:c r="H55" s="35" t="n">
        <x:v>1</x:v>
      </x:c>
      <x:c r="I55" s="35" t="n">
        <x:f>IF(H55=1,E55,0)</x:f>
        <x:v>16</x:v>
      </x:c>
      <x:c r="J55" s="35" t="n">
        <x:f>IF(H55=0,E55,0)</x:f>
        <x:v>0</x:v>
      </x:c>
      <x:c r="K55" s="31" t="str">
        <x:v>Layer B added</x:v>
      </x:c>
      <x:c r="L55" s="31" t="str">
        <x:v>chronology::ODP1262_shared</x:v>
      </x:c>
      <x:c r="M55" s="31" t="str">
        <x:v>CHR-B1-ODP1262</x:v>
      </x:c>
      <x:c r="N55" s="31" t="str">
        <x:v>shared chronology-group whole-record shift</x:v>
      </x:c>
      <x:c r="O55" s="35" t="n">
        <x:v>-40</x:v>
      </x:c>
      <x:c r="P55" s="35" t="n">
        <x:v>40</x:v>
      </x:c>
      <x:c r="Q55" s="31" t="str">
        <x:v>kyr</x:v>
      </x:c>
      <x:c r="R55" s="31" t="str">
        <x:v>Bounded Uniform(-40,+40 kyr)</x:v>
      </x:c>
      <x:c r="S55" s="31" t="str">
        <x:v>Whole retained record</x:v>
      </x:c>
      <x:c r="T55" s="31" t="str">
        <x:v>One common Δ1262 for all six operational records; preserve all within-site age spacing.</x:v>
      </x:c>
      <x:c r="U55" s="31" t="str">
        <x:v>Method-based one-cycle tuning ambiguity</x:v>
      </x:c>
      <x:c r="V55" s="31" t="str">
        <x:v>No local probability distribution is reported. Method literature supports ~20-kyr precession and ~40-kyr obliquity cycle ambiguity; ±40 kyr is used as the conservative bounded Layer B range. The ±50-kyr stress bound remains expanded-only.</x:v>
      </x:c>
      <x:c r="W55" s="31" t="str">
        <x:v>Dinarès-Turell et al. (2014); Barnet et al. (2019); Woelders et al. (2017); Hull et al. (2020)</x:v>
      </x:c>
      <x:c r="X55" s="31" t="str">
        <x:v>Common absolute-timescale and shared target-solution systematics are excluded from record-specific Layer B coverage.</x:v>
      </x:c>
      <x:c r="Y55" s="31" t="str">
        <x:v>Executable as method-based sensitivity</x:v>
      </x:c>
      <x:c r="Z55" s="31" t="str"/>
      <x:c r="AA55" s="31" t="str">
        <x:v>https://doi.org/10.1002/2014PA002762
https://doi.org/10.1016/j.epsl.2014.08.027</x:v>
      </x:c>
    </x:row>
    <x:row r="56" ht="19.200000762939453" hidden="0" customHeight="1">
      <x:c r="A56" s="30" t="str">
        <x:v>temperature::ODP690</x:v>
      </x:c>
      <x:c r="B56" s="30" t="str">
        <x:v>temperature</x:v>
      </x:c>
      <x:c r="C56" s="30" t="str">
        <x:v>ODP690</x:v>
      </x:c>
      <x:c r="D56" s="30" t="str">
        <x:v>Planktonic</x:v>
      </x:c>
      <x:c r="E56" s="34" t="n">
        <x:v>83</x:v>
      </x:c>
      <x:c r="F56" s="34" t="str">
        <x:v>Magneto-/biostratigraphy with interval-specific truncation</x:v>
      </x:c>
      <x:c r="G56" s="34" t="str">
        <x:v>Magnetostratigraphy plus modified high-latitude planktonic-foraminiferal zonation; interpolation assuming continuous sedimentation</x:v>
      </x:c>
      <x:c r="H56" s="34" t="n">
        <x:v>1</x:v>
      </x:c>
      <x:c r="I56" s="34" t="n">
        <x:f>IF(H56=1,E56,0)</x:f>
        <x:v>83</x:v>
      </x:c>
      <x:c r="J56" s="34" t="n">
        <x:f>IF(H56=0,E56,0)</x:f>
        <x:v>0</x:v>
      </x:c>
      <x:c r="K56" s="30" t="str">
        <x:v>Layer B added</x:v>
      </x:c>
      <x:c r="L56" s="30" t="str">
        <x:v>chronology::ODP690</x:v>
      </x:c>
      <x:c r="M56" s="30" t="str">
        <x:v>CHR-B3-ODP690-POSTKPG</x:v>
      </x:c>
      <x:c r="N56" s="30" t="str">
        <x:v>shared segment-correlated shift</x:v>
      </x:c>
      <x:c r="O56" s="34" t="n">
        <x:v>-200</x:v>
      </x:c>
      <x:c r="P56" s="34" t="n">
        <x:v>0</x:v>
      </x:c>
      <x:c r="Q56" s="30" t="str">
        <x:v>kyr</x:v>
      </x:c>
      <x:c r="R56" s="30" t="str">
        <x:v>Bounded Uniform(-200,0 kyr)</x:v>
      </x:c>
      <x:c r="S56" s="30" t="str">
        <x:v>Only post-K–Pg/Danian observations (Age &lt; 66.016 Ma); pre-K–Pg ages fixed</x:v>
      </x:c>
      <x:c r="T56" s="30" t="str">
        <x:v>One common post-boundary segment shift for all three ODP 690 operational records; do not shift the full record.</x:v>
      </x:c>
      <x:c r="U56" s="30" t="str">
        <x:v>Record/site-specific asymmetric upper-bound sensitivity</x:v>
      </x:c>
      <x:c r="V56" s="30" t="str">
        <x:v>The source states that unrecognized truncation may make post-boundary ages too old by as much as 200 kyr. This is represented only as an asymmetric segment sensitivity, not as a hiatus duration or whole-record error.</x:v>
      </x:c>
      <x:c r="W56" s="30" t="str">
        <x:v>Stott &amp; Kennett (1990), ODP Scientific Results 113</x:v>
      </x:c>
      <x:c r="X56" s="30" t="str">
        <x:v>Common absolute-timescale and shared target-solution systematics are excluded from record-specific Layer B coverage.</x:v>
      </x:c>
      <x:c r="Y56" s="30" t="str">
        <x:v>Executable as segment sensitivity</x:v>
      </x:c>
      <x:c r="Z56" s="30" t="str"/>
      <x:c r="AA56" s="30" t="str">
        <x:v>https://www-odp.tamu.edu/publications/113_SR/VOLUME/CHAPTERS/sr113_48.pdf</x:v>
      </x:c>
    </x:row>
    <x:row r="57" ht="19.200000762939453" hidden="0" customHeight="1">
      <x:c r="A57" s="31" t="str">
        <x:v>temperature::ODP690 2</x:v>
      </x:c>
      <x:c r="B57" s="31" t="str">
        <x:v>temperature</x:v>
      </x:c>
      <x:c r="C57" s="31" t="str">
        <x:v>ODP690 2</x:v>
      </x:c>
      <x:c r="D57" s="31" t="str">
        <x:v>Benthic</x:v>
      </x:c>
      <x:c r="E57" s="35" t="n">
        <x:v>46</x:v>
      </x:c>
      <x:c r="F57" s="35" t="str">
        <x:v>Magneto-/biostratigraphy with interval-specific truncation</x:v>
      </x:c>
      <x:c r="G57" s="35" t="str">
        <x:v>ODP 690 magnetobiochronology and K–Pg-relative interpolation, following the site chronology</x:v>
      </x:c>
      <x:c r="H57" s="35" t="n">
        <x:v>1</x:v>
      </x:c>
      <x:c r="I57" s="35" t="n">
        <x:f>IF(H57=1,E57,0)</x:f>
        <x:v>46</x:v>
      </x:c>
      <x:c r="J57" s="35" t="n">
        <x:f>IF(H57=0,E57,0)</x:f>
        <x:v>0</x:v>
      </x:c>
      <x:c r="K57" s="31" t="str">
        <x:v>Layer B added</x:v>
      </x:c>
      <x:c r="L57" s="31" t="str">
        <x:v>chronology::ODP690_2</x:v>
      </x:c>
      <x:c r="M57" s="31" t="str">
        <x:v>CHR-B3-ODP690-POSTKPG</x:v>
      </x:c>
      <x:c r="N57" s="31" t="str">
        <x:v>shared segment-correlated shift</x:v>
      </x:c>
      <x:c r="O57" s="35" t="n">
        <x:v>-200</x:v>
      </x:c>
      <x:c r="P57" s="35" t="n">
        <x:v>0</x:v>
      </x:c>
      <x:c r="Q57" s="31" t="str">
        <x:v>kyr</x:v>
      </x:c>
      <x:c r="R57" s="31" t="str">
        <x:v>Bounded Uniform(-200,0 kyr)</x:v>
      </x:c>
      <x:c r="S57" s="31" t="str">
        <x:v>Only post-K–Pg/Danian observations (Age &lt; 66.016 Ma); pre-K–Pg ages fixed</x:v>
      </x:c>
      <x:c r="T57" s="31" t="str">
        <x:v>One common post-boundary segment shift for all three ODP 690 operational records; do not shift the full record.</x:v>
      </x:c>
      <x:c r="U57" s="31" t="str">
        <x:v>Record/site-specific asymmetric upper-bound sensitivity</x:v>
      </x:c>
      <x:c r="V57" s="31" t="str">
        <x:v>The source states that unrecognized truncation may make post-boundary ages too old by as much as 200 kyr. This is represented only as an asymmetric segment sensitivity, not as a hiatus duration or whole-record error.</x:v>
      </x:c>
      <x:c r="W57" s="31" t="str">
        <x:v>Alegret &amp; Thomas (2013); Stott &amp; Kennett (1990)</x:v>
      </x:c>
      <x:c r="X57" s="31" t="str">
        <x:v>Common absolute-timescale and shared target-solution systematics are excluded from record-specific Layer B coverage.</x:v>
      </x:c>
      <x:c r="Y57" s="31" t="str">
        <x:v>Executable as segment sensitivity</x:v>
      </x:c>
      <x:c r="Z57" s="31" t="str"/>
      <x:c r="AA57" s="31" t="str">
        <x:v>https://www-odp.tamu.edu/publications/113_SR/VOLUME/CHAPTERS/sr113_48.pdf</x:v>
      </x:c>
    </x:row>
    <x:row r="58" ht="15" hidden="0" customHeight="1">
      <x:c r="A58" s="30" t="str">
        <x:v>temperature::Seymour Island</x:v>
      </x:c>
      <x:c r="B58" s="30" t="str">
        <x:v>temperature</x:v>
      </x:c>
      <x:c r="C58" s="30" t="str">
        <x:v>Seymour Island</x:v>
      </x:c>
      <x:c r="D58" s="30" t="str">
        <x:v>Clumped isotope</x:v>
      </x:c>
      <x:c r="E58" s="34" t="n">
        <x:v>18</x:v>
      </x:c>
      <x:c r="F58" s="34" t="str">
        <x:v>Magnetostratigraphy + K–Pg tie-point section model</x:v>
      </x:c>
      <x:c r="G58" s="34" t="str">
        <x:v>Shared magnetostratigraphic control points plus K–Pg tie point; piecewise linear interpolation</x:v>
      </x:c>
      <x:c r="H58" s="34" t="n">
        <x:v>1</x:v>
      </x:c>
      <x:c r="I58" s="34" t="n">
        <x:f>IF(H58=1,E58,0)</x:f>
        <x:v>18</x:v>
      </x:c>
      <x:c r="J58" s="34" t="n">
        <x:f>IF(H58=0,E58,0)</x:f>
        <x:v>0</x:v>
      </x:c>
      <x:c r="K58" s="30" t="str">
        <x:v>Primary retained</x:v>
      </x:c>
      <x:c r="L58" s="30" t="str">
        <x:v>chronology::Seymour_Island_shared</x:v>
      </x:c>
      <x:c r="M58" s="30" t="str">
        <x:v>CHR-P3-SEYMOUR</x:v>
      </x:c>
      <x:c r="N58" s="30" t="str">
        <x:v>shared chronology-group whole-record shift</x:v>
      </x:c>
      <x:c r="O58" s="34" t="n">
        <x:v>-40</x:v>
      </x:c>
      <x:c r="P58" s="34" t="n">
        <x:v>40</x:v>
      </x:c>
      <x:c r="Q58" s="30" t="str">
        <x:v>kyr</x:v>
      </x:c>
      <x:c r="R58" s="30" t="str">
        <x:v>Bounded Uniform(-40,+40 kyr)</x:v>
      </x:c>
      <x:c r="S58" s="30" t="str">
        <x:v>Whole retained section</x:v>
      </x:c>
      <x:c r="T58" s="30" t="str">
        <x:v>One common ΔSeymour for all five proxy records using the shared section model.</x:v>
      </x:c>
      <x:c r="U58" s="30" t="str">
        <x:v>Record/site-specific conservative derivation</x:v>
      </x:c>
      <x:c r="V58" s="30" t="str">
        <x:v>Published ~4-m inter-framework agreement converted with local age–height slopes; maximum ~39.5 kyr rounded to 40 kyr.</x:v>
      </x:c>
      <x:c r="W58" s="30" t="str">
        <x:v>Petersen et al. (2016), Methods and Supplementary Table 1; Renne et al. (2013)</x:v>
      </x:c>
      <x:c r="X58" s="30" t="str">
        <x:v>Common absolute-timescale and shared target-solution systematics are excluded from record-specific Layer B coverage.</x:v>
      </x:c>
      <x:c r="Y58" s="30" t="str">
        <x:v>Executable</x:v>
      </x:c>
      <x:c r="Z58" s="30" t="str"/>
      <x:c r="AA58" s="30" t="str">
        <x:v>https://doi.org/10.1038/ncomms12079</x:v>
      </x:c>
    </x:row>
    <x:row r="59" ht="15" hidden="0" customHeight="1">
      <x:c r="A59" s="31" t="str">
        <x:v>temperature::Seymour Island 2</x:v>
      </x:c>
      <x:c r="B59" s="31" t="str">
        <x:v>temperature</x:v>
      </x:c>
      <x:c r="C59" s="31" t="str">
        <x:v>Seymour Island 2</x:v>
      </x:c>
      <x:c r="D59" s="31" t="str">
        <x:v>Bivalve</x:v>
      </x:c>
      <x:c r="E59" s="35" t="n">
        <x:v>17</x:v>
      </x:c>
      <x:c r="F59" s="35" t="str">
        <x:v>Magnetostratigraphy + K–Pg tie-point section model</x:v>
      </x:c>
      <x:c r="G59" s="35" t="str">
        <x:v>Shared magnetostratigraphic control points plus K–Pg tie point; piecewise linear interpolation</x:v>
      </x:c>
      <x:c r="H59" s="35" t="n">
        <x:v>1</x:v>
      </x:c>
      <x:c r="I59" s="35" t="n">
        <x:f>IF(H59=1,E59,0)</x:f>
        <x:v>17</x:v>
      </x:c>
      <x:c r="J59" s="35" t="n">
        <x:f>IF(H59=0,E59,0)</x:f>
        <x:v>0</x:v>
      </x:c>
      <x:c r="K59" s="31" t="str">
        <x:v>Primary retained</x:v>
      </x:c>
      <x:c r="L59" s="31" t="str">
        <x:v>chronology::Seymour_Island_shared</x:v>
      </x:c>
      <x:c r="M59" s="31" t="str">
        <x:v>CHR-P3-SEYMOUR</x:v>
      </x:c>
      <x:c r="N59" s="31" t="str">
        <x:v>shared chronology-group whole-record shift</x:v>
      </x:c>
      <x:c r="O59" s="35" t="n">
        <x:v>-40</x:v>
      </x:c>
      <x:c r="P59" s="35" t="n">
        <x:v>40</x:v>
      </x:c>
      <x:c r="Q59" s="31" t="str">
        <x:v>kyr</x:v>
      </x:c>
      <x:c r="R59" s="31" t="str">
        <x:v>Bounded Uniform(-40,+40 kyr)</x:v>
      </x:c>
      <x:c r="S59" s="31" t="str">
        <x:v>Whole retained section</x:v>
      </x:c>
      <x:c r="T59" s="31" t="str">
        <x:v>One common ΔSeymour for all five proxy records using the shared section model.</x:v>
      </x:c>
      <x:c r="U59" s="31" t="str">
        <x:v>Record/site-specific conservative derivation</x:v>
      </x:c>
      <x:c r="V59" s="31" t="str">
        <x:v>Published ~4-m inter-framework agreement converted with local age–height slopes; maximum ~39.5 kyr rounded to 40 kyr.</x:v>
      </x:c>
      <x:c r="W59" s="31" t="str">
        <x:v>Petersen et al. (2016), Methods and Supplementary Table 1; Renne et al. (2013)</x:v>
      </x:c>
      <x:c r="X59" s="31" t="str">
        <x:v>Common absolute-timescale and shared target-solution systematics are excluded from record-specific Layer B coverage.</x:v>
      </x:c>
      <x:c r="Y59" s="31" t="str">
        <x:v>Executable</x:v>
      </x:c>
      <x:c r="Z59" s="31" t="str"/>
      <x:c r="AA59" s="31" t="str">
        <x:v>https://doi.org/10.1038/ncomms12079</x:v>
      </x:c>
    </x:row>
    <x:row r="60" ht="15" hidden="0" customHeight="1">
      <x:c r="A60" s="30" t="str">
        <x:v>temperature::Seymour Island 3</x:v>
      </x:c>
      <x:c r="B60" s="30" t="str">
        <x:v>temperature</x:v>
      </x:c>
      <x:c r="C60" s="30" t="str">
        <x:v>Seymour Island 3</x:v>
      </x:c>
      <x:c r="D60" s="30" t="str">
        <x:v>Gastropod</x:v>
      </x:c>
      <x:c r="E60" s="34" t="n">
        <x:v>21</x:v>
      </x:c>
      <x:c r="F60" s="34" t="str">
        <x:v>Magnetostratigraphy + K–Pg tie-point section model</x:v>
      </x:c>
      <x:c r="G60" s="34" t="str">
        <x:v>Shared magnetostratigraphic control points plus K–Pg tie point; piecewise linear interpolation</x:v>
      </x:c>
      <x:c r="H60" s="34" t="n">
        <x:v>1</x:v>
      </x:c>
      <x:c r="I60" s="34" t="n">
        <x:f>IF(H60=1,E60,0)</x:f>
        <x:v>21</x:v>
      </x:c>
      <x:c r="J60" s="34" t="n">
        <x:f>IF(H60=0,E60,0)</x:f>
        <x:v>0</x:v>
      </x:c>
      <x:c r="K60" s="30" t="str">
        <x:v>Primary retained</x:v>
      </x:c>
      <x:c r="L60" s="30" t="str">
        <x:v>chronology::Seymour_Island_shared</x:v>
      </x:c>
      <x:c r="M60" s="30" t="str">
        <x:v>CHR-P3-SEYMOUR</x:v>
      </x:c>
      <x:c r="N60" s="30" t="str">
        <x:v>shared chronology-group whole-record shift</x:v>
      </x:c>
      <x:c r="O60" s="34" t="n">
        <x:v>-40</x:v>
      </x:c>
      <x:c r="P60" s="34" t="n">
        <x:v>40</x:v>
      </x:c>
      <x:c r="Q60" s="30" t="str">
        <x:v>kyr</x:v>
      </x:c>
      <x:c r="R60" s="30" t="str">
        <x:v>Bounded Uniform(-40,+40 kyr)</x:v>
      </x:c>
      <x:c r="S60" s="30" t="str">
        <x:v>Whole retained section</x:v>
      </x:c>
      <x:c r="T60" s="30" t="str">
        <x:v>One common ΔSeymour for all five proxy records using the shared section model.</x:v>
      </x:c>
      <x:c r="U60" s="30" t="str">
        <x:v>Record/site-specific conservative derivation</x:v>
      </x:c>
      <x:c r="V60" s="30" t="str">
        <x:v>Published ~4-m inter-framework agreement converted with local age–height slopes; maximum ~39.5 kyr rounded to 40 kyr.</x:v>
      </x:c>
      <x:c r="W60" s="30" t="str">
        <x:v>Petersen et al. (2016), Methods and Supplementary Table 1; Renne et al. (2013)</x:v>
      </x:c>
      <x:c r="X60" s="30" t="str">
        <x:v>Common absolute-timescale and shared target-solution systematics are excluded from record-specific Layer B coverage.</x:v>
      </x:c>
      <x:c r="Y60" s="30" t="str">
        <x:v>Executable</x:v>
      </x:c>
      <x:c r="Z60" s="30" t="str"/>
      <x:c r="AA60" s="30" t="str">
        <x:v>https://doi.org/10.1038/ncomms12079</x:v>
      </x:c>
    </x:row>
    <x:row r="61" ht="19.200000762939453" hidden="0" customHeight="1">
      <x:c r="A61" s="31" t="str">
        <x:v>temperature::Songliao Basin</x:v>
      </x:c>
      <x:c r="B61" s="31" t="str">
        <x:v>temperature</x:v>
      </x:c>
      <x:c r="C61" s="31" t="str">
        <x:v>Songliao Basin</x:v>
      </x:c>
      <x:c r="D61" s="31" t="str">
        <x:v>Clumped isotope</x:v>
      </x:c>
      <x:c r="E61" s="35" t="n">
        <x:v>28</x:v>
      </x:c>
      <x:c r="F61" s="35" t="str">
        <x:v>Mixed terrestrial radiometric/magneto-/biostratigraphic chronology</x:v>
      </x:c>
      <x:c r="G61" s="35" t="str">
        <x:v>Integrated high-resolution magnetostratigraphy, lithostratigraphy, biostratigraphy, and SIMS U–Pb controls</x:v>
      </x:c>
      <x:c r="H61" s="35" t="n">
        <x:v>0</x:v>
      </x:c>
      <x:c r="I61" s="35" t="n">
        <x:f>IF(H61=1,E61,0)</x:f>
        <x:v>0</x:v>
      </x:c>
      <x:c r="J61" s="35" t="n">
        <x:f>IF(H61=0,E61,0)</x:f>
        <x:v>28</x:v>
      </x:c>
      <x:c r="K61" s="31" t="str">
        <x:v>Fixed</x:v>
      </x:c>
      <x:c r="L61" s="31" t="str">
        <x:v>chronology::Songliao_Basin</x:v>
      </x:c>
      <x:c r="M61" s="31" t="str"/>
      <x:c r="N61" s="31" t="str">
        <x:v>fixed</x:v>
      </x:c>
      <x:c r="O61" s="35"/>
      <x:c r="P61" s="35"/>
      <x:c r="Q61" s="31" t="str">
        <x:v>kyr</x:v>
      </x:c>
      <x:c r="R61" s="31" t="str">
        <x:v>Not randomized</x:v>
      </x:c>
      <x:c r="S61" s="31" t="str">
        <x:v>Not applicable</x:v>
      </x:c>
      <x:c r="T61" s="31" t="str">
        <x:v>Retain central ages until source-specific control-point bounds or alternative models are available.</x:v>
      </x:c>
      <x:c r="U61" s="31" t="str">
        <x:v>Method identified; no defensible transferable quantitative local range</x:v>
      </x:c>
      <x:c r="V61" s="31" t="str">
        <x:v>Method literature requires record-specific reversal/event depths, dated-horizon errors, local sedimentation constraints or alternative correlations; these cannot be inferred from the retained age sequence.</x:v>
      </x:c>
      <x:c r="W61" s="31" t="str">
        <x:v>Deng et al. (2013); He et al. (2012); Zhang et al. (2018)</x:v>
      </x:c>
      <x:c r="X61" s="31" t="str">
        <x:v>Common absolute-timescale and shared target-solution systematics are excluded from record-specific Layer B coverage.</x:v>
      </x:c>
      <x:c r="Y61" s="31" t="str">
        <x:v>Fixed</x:v>
      </x:c>
      <x:c r="Z61" s="31" t="str">
        <x:v>Method identifiable but quantitative local controls remain unavailable</x:v>
      </x:c>
      <x:c r="AA61" s="31" t="str">
        <x:v>See record-specific chronology sources in the source audit</x:v>
      </x:c>
    </x:row>
    <x:row r="62" ht="15" hidden="0" customHeight="1">
      <x:c r="A62" s="30" t="str">
        <x:v>temperature::West Texas</x:v>
      </x:c>
      <x:c r="B62" s="30" t="str">
        <x:v>temperature</x:v>
      </x:c>
      <x:c r="C62" s="30" t="str">
        <x:v>West Texas</x:v>
      </x:c>
      <x:c r="D62" s="30" t="str">
        <x:v>Paleosol d18O data</x:v>
      </x:c>
      <x:c r="E62" s="34" t="n">
        <x:v>22</x:v>
      </x:c>
      <x:c r="F62" s="34" t="str">
        <x:v>Segment/hiatus-related chronology</x:v>
      </x:c>
      <x:c r="G62" s="34" t="str">
        <x:v>Terrestrial stratigraphic correlation with magnetostratigraphy and radiometric constraints</x:v>
      </x:c>
      <x:c r="H62" s="34" t="n">
        <x:v>0</x:v>
      </x:c>
      <x:c r="I62" s="34" t="n">
        <x:f>IF(H62=1,E62,0)</x:f>
        <x:v>0</x:v>
      </x:c>
      <x:c r="J62" s="34" t="n">
        <x:f>IF(H62=0,E62,0)</x:f>
        <x:v>22</x:v>
      </x:c>
      <x:c r="K62" s="30" t="str">
        <x:v>Fixed</x:v>
      </x:c>
      <x:c r="L62" s="30" t="str">
        <x:v>chronology::West_Texas</x:v>
      </x:c>
      <x:c r="M62" s="30" t="str"/>
      <x:c r="N62" s="30" t="str">
        <x:v>fixed</x:v>
      </x:c>
      <x:c r="O62" s="34"/>
      <x:c r="P62" s="34"/>
      <x:c r="Q62" s="30" t="str">
        <x:v>kyr</x:v>
      </x:c>
      <x:c r="R62" s="30" t="str">
        <x:v>Not randomized</x:v>
      </x:c>
      <x:c r="S62" s="30" t="str">
        <x:v>Not applicable</x:v>
      </x:c>
      <x:c r="T62" s="30" t="str">
        <x:v>A discrete alternative age-depth/hiatus model would be required.</x:v>
      </x:c>
      <x:c r="U62" s="30" t="str">
        <x:v>Structural or hiatus-related chronology</x:v>
      </x:c>
      <x:c r="V62" s="30" t="str">
        <x:v>A documented gap, hiatus or disconformity is not converted into a symmetric timing error or a whole-record shift.</x:v>
      </x:c>
      <x:c r="W62" s="30" t="str">
        <x:v>Dworkin et al. (2005); Leslie et al. (2018); Lehman et al. (2022)</x:v>
      </x:c>
      <x:c r="X62" s="30" t="str">
        <x:v>Common absolute-timescale and shared target-solution systematics are excluded from record-specific Layer B coverage.</x:v>
      </x:c>
      <x:c r="Y62" s="30" t="str">
        <x:v>Not executable without an explicit alternative age-depth model</x:v>
      </x:c>
      <x:c r="Z62" s="30" t="str">
        <x:v>Hiatus/structural correction cannot be treated as a timing-error distribution</x:v>
      </x:c>
      <x:c r="AA62" s="30" t="str">
        <x:v>https://doi.org/10.1130/GES02519.1</x:v>
      </x:c>
    </x:row>
    <x:row r="63" ht="19.200000762939453" hidden="0" customHeight="1">
      <x:c r="A63" s="31" t="str">
        <x:v>temperature::Williston Basin</x:v>
      </x:c>
      <x:c r="B63" s="31" t="str">
        <x:v>temperature</x:v>
      </x:c>
      <x:c r="C63" s="31" t="str">
        <x:v>Williston Basin</x:v>
      </x:c>
      <x:c r="D63" s="31" t="str">
        <x:v>Leaf margin</x:v>
      </x:c>
      <x:c r="E63" s="35" t="n">
        <x:v>14</x:v>
      </x:c>
      <x:c r="F63" s="35" t="str">
        <x:v>Mixed terrestrial radiometric/magneto-/biostratigraphic chronology</x:v>
      </x:c>
      <x:c r="G63" s="35" t="str">
        <x:v>Terrestrial magnetostratigraphic tie points and biostratigraphic correlation, reassigned to GTS2012</x:v>
      </x:c>
      <x:c r="H63" s="35" t="n">
        <x:v>0</x:v>
      </x:c>
      <x:c r="I63" s="35" t="n">
        <x:f>IF(H63=1,E63,0)</x:f>
        <x:v>0</x:v>
      </x:c>
      <x:c r="J63" s="35" t="n">
        <x:f>IF(H63=0,E63,0)</x:f>
        <x:v>14</x:v>
      </x:c>
      <x:c r="K63" s="31" t="str">
        <x:v>Fixed</x:v>
      </x:c>
      <x:c r="L63" s="31" t="str">
        <x:v>chronology::Williston_Basin</x:v>
      </x:c>
      <x:c r="M63" s="31" t="str"/>
      <x:c r="N63" s="31" t="str">
        <x:v>fixed</x:v>
      </x:c>
      <x:c r="O63" s="35"/>
      <x:c r="P63" s="35"/>
      <x:c r="Q63" s="31" t="str">
        <x:v>kyr</x:v>
      </x:c>
      <x:c r="R63" s="31" t="str">
        <x:v>Not randomized</x:v>
      </x:c>
      <x:c r="S63" s="31" t="str">
        <x:v>Not applicable</x:v>
      </x:c>
      <x:c r="T63" s="31" t="str">
        <x:v>Retain central ages until source-specific control-point bounds or alternative models are available.</x:v>
      </x:c>
      <x:c r="U63" s="31" t="str">
        <x:v>Method identified; no defensible transferable quantitative local range</x:v>
      </x:c>
      <x:c r="V63" s="31" t="str">
        <x:v>Method literature requires record-specific reversal/event depths, dated-horizon errors, local sedimentation constraints or alternative correlations; these cannot be inferred from the retained age sequence.</x:v>
      </x:c>
      <x:c r="W63" s="31" t="str">
        <x:v>Wilf et al. (2003); Hicks et al. chronology cited therein; Hull et al. (2020)</x:v>
      </x:c>
      <x:c r="X63" s="31" t="str">
        <x:v>Common absolute-timescale and shared target-solution systematics are excluded from record-specific Layer B coverage.</x:v>
      </x:c>
      <x:c r="Y63" s="31" t="str">
        <x:v>Fixed</x:v>
      </x:c>
      <x:c r="Z63" s="31" t="str">
        <x:v>Method identifiable but quantitative local controls remain unavailable</x:v>
      </x:c>
      <x:c r="AA63" s="31" t="str">
        <x:v>See record-specific chronology sources in the source audit</x:v>
      </x:c>
    </x:row>
    <x:row r="64" ht="19.200000762939453" hidden="0" customHeight="1">
      <x:c r="A64" s="30" t="str">
        <x:v>weathering::Bottaccione Section, Gubbio Os</x:v>
      </x:c>
      <x:c r="B64" s="30" t="str">
        <x:v>weathering</x:v>
      </x:c>
      <x:c r="C64" s="30" t="str">
        <x:v>Bottaccione Section, Gubbio Os</x:v>
      </x:c>
      <x:c r="D64" s="30" t="str">
        <x:v>Sediment</x:v>
      </x:c>
      <x:c r="E64" s="34" t="n">
        <x:v>34</x:v>
      </x:c>
      <x:c r="F64" s="34" t="str">
        <x:v>Magnetostratigraphy/biostratigraphy without quantitative local bounds</x:v>
      </x:c>
      <x:c r="G64" s="34" t="str">
        <x:v>Magneto-/biostratigraphic Gubbio age model updated to GTS; K–Pg marker</x:v>
      </x:c>
      <x:c r="H64" s="34" t="n">
        <x:v>0</x:v>
      </x:c>
      <x:c r="I64" s="34" t="n">
        <x:f>IF(H64=1,E64,0)</x:f>
        <x:v>0</x:v>
      </x:c>
      <x:c r="J64" s="34" t="n">
        <x:f>IF(H64=0,E64,0)</x:f>
        <x:v>34</x:v>
      </x:c>
      <x:c r="K64" s="30" t="str">
        <x:v>Fixed</x:v>
      </x:c>
      <x:c r="L64" s="30" t="str">
        <x:v>chronology::Bottaccione_Section,_Gubbio_Os</x:v>
      </x:c>
      <x:c r="M64" s="30" t="str"/>
      <x:c r="N64" s="30" t="str">
        <x:v>fixed</x:v>
      </x:c>
      <x:c r="O64" s="34"/>
      <x:c r="P64" s="34"/>
      <x:c r="Q64" s="30" t="str">
        <x:v>kyr</x:v>
      </x:c>
      <x:c r="R64" s="30" t="str">
        <x:v>Not randomized</x:v>
      </x:c>
      <x:c r="S64" s="30" t="str">
        <x:v>Not applicable</x:v>
      </x:c>
      <x:c r="T64" s="30" t="str">
        <x:v>Retain central ages until source-specific control-point bounds or alternative models are available.</x:v>
      </x:c>
      <x:c r="U64" s="30" t="str">
        <x:v>Method identified; no defensible transferable quantitative local range</x:v>
      </x:c>
      <x:c r="V64" s="30" t="str">
        <x:v>Method literature requires record-specific reversal/event depths, dated-horizon errors, local sedimentation constraints or alternative correlations; these cannot be inferred from the retained age sequence.</x:v>
      </x:c>
      <x:c r="W64" s="30" t="str">
        <x:v>Robinson et al. (2009) and cited Gubbio chronology</x:v>
      </x:c>
      <x:c r="X64" s="30" t="str">
        <x:v>Common absolute-timescale and shared target-solution systematics are excluded from record-specific Layer B coverage.</x:v>
      </x:c>
      <x:c r="Y64" s="30" t="str">
        <x:v>Fixed</x:v>
      </x:c>
      <x:c r="Z64" s="30" t="str">
        <x:v>Method identifiable but quantitative local controls remain unavailable</x:v>
      </x:c>
      <x:c r="AA64" s="30" t="str">
        <x:v>See record-specific chronology sources in the source audit</x:v>
      </x:c>
    </x:row>
    <x:row r="65" ht="15" hidden="0" customHeight="1">
      <x:c r="A65" s="31" t="str">
        <x:v>weathering::IODP U1403 Os</x:v>
      </x:c>
      <x:c r="B65" s="31" t="str">
        <x:v>weathering</x:v>
      </x:c>
      <x:c r="C65" s="31" t="str">
        <x:v>IODP U1403 Os</x:v>
      </x:c>
      <x:c r="D65" s="31" t="str">
        <x:v>Sediment</x:v>
      </x:c>
      <x:c r="E65" s="35" t="n">
        <x:v>25</x:v>
      </x:c>
      <x:c r="F65" s="35" t="str">
        <x:v>Astronomical/cyclostratigraphic tuning</x:v>
      </x:c>
      <x:c r="G65" s="35" t="str">
        <x:v>Same U1403 cyclostratigraphic age model used by the stable-isotope records</x:v>
      </x:c>
      <x:c r="H65" s="35" t="n">
        <x:v>1</x:v>
      </x:c>
      <x:c r="I65" s="35" t="n">
        <x:f>IF(H65=1,E65,0)</x:f>
        <x:v>25</x:v>
      </x:c>
      <x:c r="J65" s="35" t="n">
        <x:f>IF(H65=0,E65,0)</x:f>
        <x:v>0</x:v>
      </x:c>
      <x:c r="K65" s="31" t="str">
        <x:v>Primary retained</x:v>
      </x:c>
      <x:c r="L65" s="31" t="str">
        <x:v>chronology::IODP_U1403_Os</x:v>
      </x:c>
      <x:c r="M65" s="31" t="str">
        <x:v>CHR-P2-U1403</x:v>
      </x:c>
      <x:c r="N65" s="31" t="str">
        <x:v>shared chronology-group whole-record shift</x:v>
      </x:c>
      <x:c r="O65" s="35" t="n">
        <x:v>-37</x:v>
      </x:c>
      <x:c r="P65" s="35" t="n">
        <x:v>37</x:v>
      </x:c>
      <x:c r="Q65" s="31" t="str">
        <x:v>kyr</x:v>
      </x:c>
      <x:c r="R65" s="31" t="str">
        <x:v>Bounded Uniform(-37,+37 kyr)</x:v>
      </x:c>
      <x:c r="S65" s="31" t="str">
        <x:v>Whole retained record</x:v>
      </x:c>
      <x:c r="T65" s="31" t="str">
        <x:v>One common ΔU1403 for all stable-isotope and Os members.</x:v>
      </x:c>
      <x:c r="U65" s="31" t="str">
        <x:v>Direct site-specific empirical mismatch / conservative bound</x:v>
      </x:c>
      <x:c r="V65" s="31" t="str">
        <x:v>Published ~37-kyr Walvis–U1403 timing mismatch; used as a conservative bound, not a formal probability interval.</x:v>
      </x:c>
      <x:c r="W65" s="31" t="str">
        <x:v>Batenburg et al. (2018); Hull et al. (2020)</x:v>
      </x:c>
      <x:c r="X65" s="31" t="str">
        <x:v>Common absolute-timescale and shared target-solution systematics are excluded from record-specific Layer B coverage.</x:v>
      </x:c>
      <x:c r="Y65" s="31" t="str">
        <x:v>Executable</x:v>
      </x:c>
      <x:c r="Z65" s="31" t="str"/>
      <x:c r="AA65" s="31" t="str">
        <x:v>https://www.theqstorm.org/data/aay5055_hull_sm.pdf</x:v>
      </x:c>
    </x:row>
    <x:row r="66" ht="19.200000762939453" hidden="0" customHeight="1">
      <x:c r="A66" s="30" t="str">
        <x:v>weathering::ODP1209C Ca</x:v>
      </x:c>
      <x:c r="B66" s="30" t="str">
        <x:v>weathering</x:v>
      </x:c>
      <x:c r="C66" s="30" t="str">
        <x:v>ODP1209C Ca</x:v>
      </x:c>
      <x:c r="D66" s="30" t="str">
        <x:v>Planktonic foraminifera</x:v>
      </x:c>
      <x:c r="E66" s="34" t="n">
        <x:v>66</x:v>
      </x:c>
      <x:c r="F66" s="34" t="str">
        <x:v>Astronomical/cyclostratigraphic tuning</x:v>
      </x:c>
      <x:c r="G66" s="34" t="str">
        <x:v>Cyclostratigraphic/astronomical tuning with 405-kyr eccentricity framework and K–Pg anchor; latest Maastrichtian extension</x:v>
      </x:c>
      <x:c r="H66" s="34" t="n">
        <x:v>1</x:v>
      </x:c>
      <x:c r="I66" s="34" t="n">
        <x:f>IF(H66=1,E66,0)</x:f>
        <x:v>66</x:v>
      </x:c>
      <x:c r="J66" s="34" t="n">
        <x:f>IF(H66=0,E66,0)</x:f>
        <x:v>0</x:v>
      </x:c>
      <x:c r="K66" s="30" t="str">
        <x:v>Primary retained</x:v>
      </x:c>
      <x:c r="L66" s="30" t="str">
        <x:v>chronology::ODP1209_shared</x:v>
      </x:c>
      <x:c r="M66" s="30" t="str">
        <x:v>CHR-P1-ODP1209-SHATSKY</x:v>
      </x:c>
      <x:c r="N66" s="30" t="str">
        <x:v>shared chronology-group whole-record shift</x:v>
      </x:c>
      <x:c r="O66" s="34" t="n">
        <x:v>-87</x:v>
      </x:c>
      <x:c r="P66" s="34" t="n">
        <x:v>87</x:v>
      </x:c>
      <x:c r="Q66" s="30" t="str">
        <x:v>kyr</x:v>
      </x:c>
      <x:c r="R66" s="30" t="str">
        <x:v>Bounded Uniform(-87,+87 kyr)</x:v>
      </x:c>
      <x:c r="S66" s="30" t="str">
        <x:v>Whole retained record</x:v>
      </x:c>
      <x:c r="T66" s="30" t="str">
        <x:v>One common ΔShatsky for every ODP 1209 member; ODP 1210 Layer B members reuse the same draw.</x:v>
      </x:c>
      <x:c r="U66" s="30" t="str">
        <x:v>Direct site-specific empirical mismatch / conservative bound</x:v>
      </x:c>
      <x:c r="V66" s="30" t="str">
        <x:v>Published ~87-kyr Shatsky–Walvis mismatch; retained as a conservative site-level stress bound, not a confidence interval.</x:v>
      </x:c>
      <x:c r="W66" s="30" t="str">
        <x:v>Dinarès-Turell et al. (2014); Westerhold et al. (2011); Woelders et al. (2017); Hull et al. (2020)</x:v>
      </x:c>
      <x:c r="X66" s="30" t="str">
        <x:v>Common absolute-timescale and shared target-solution systematics are excluded from record-specific Layer B coverage.</x:v>
      </x:c>
      <x:c r="Y66" s="30" t="str">
        <x:v>Executable</x:v>
      </x:c>
      <x:c r="Z66" s="30" t="str"/>
      <x:c r="AA66" s="30" t="str">
        <x:v>https://www.theqstorm.org/data/aay5055_hull_sm.pdf</x:v>
      </x:c>
    </x:row>
    <x:row r="67" ht="19.200000762939453" hidden="0" customHeight="1">
      <x:c r="A67" s="31" t="str">
        <x:v>weathering::ODP1209C Ca2</x:v>
      </x:c>
      <x:c r="B67" s="31" t="str">
        <x:v>weathering</x:v>
      </x:c>
      <x:c r="C67" s="31" t="str">
        <x:v>ODP1209C Ca2</x:v>
      </x:c>
      <x:c r="D67" s="31" t="str">
        <x:v>Benthic foraminifera</x:v>
      </x:c>
      <x:c r="E67" s="35" t="n">
        <x:v>66</x:v>
      </x:c>
      <x:c r="F67" s="35" t="str">
        <x:v>Astronomical/cyclostratigraphic tuning</x:v>
      </x:c>
      <x:c r="G67" s="35" t="str">
        <x:v>Cyclostratigraphic/astronomical tuning with 405-kyr eccentricity framework and K–Pg anchor; latest Maastrichtian extension</x:v>
      </x:c>
      <x:c r="H67" s="35" t="n">
        <x:v>1</x:v>
      </x:c>
      <x:c r="I67" s="35" t="n">
        <x:f>IF(H67=1,E67,0)</x:f>
        <x:v>66</x:v>
      </x:c>
      <x:c r="J67" s="35" t="n">
        <x:f>IF(H67=0,E67,0)</x:f>
        <x:v>0</x:v>
      </x:c>
      <x:c r="K67" s="31" t="str">
        <x:v>Primary retained</x:v>
      </x:c>
      <x:c r="L67" s="31" t="str">
        <x:v>chronology::ODP1209_shared</x:v>
      </x:c>
      <x:c r="M67" s="31" t="str">
        <x:v>CHR-P1-ODP1209-SHATSKY</x:v>
      </x:c>
      <x:c r="N67" s="31" t="str">
        <x:v>shared chronology-group whole-record shift</x:v>
      </x:c>
      <x:c r="O67" s="35" t="n">
        <x:v>-87</x:v>
      </x:c>
      <x:c r="P67" s="35" t="n">
        <x:v>87</x:v>
      </x:c>
      <x:c r="Q67" s="31" t="str">
        <x:v>kyr</x:v>
      </x:c>
      <x:c r="R67" s="31" t="str">
        <x:v>Bounded Uniform(-87,+87 kyr)</x:v>
      </x:c>
      <x:c r="S67" s="31" t="str">
        <x:v>Whole retained record</x:v>
      </x:c>
      <x:c r="T67" s="31" t="str">
        <x:v>One common ΔShatsky for every ODP 1209 member; ODP 1210 Layer B members reuse the same draw.</x:v>
      </x:c>
      <x:c r="U67" s="31" t="str">
        <x:v>Direct site-specific empirical mismatch / conservative bound</x:v>
      </x:c>
      <x:c r="V67" s="31" t="str">
        <x:v>Published ~87-kyr Shatsky–Walvis mismatch; retained as a conservative site-level stress bound, not a confidence interval.</x:v>
      </x:c>
      <x:c r="W67" s="31" t="str">
        <x:v>Dinarès-Turell et al. (2014); Westerhold et al. (2011); Woelders et al. (2017); Hull et al. (2020)</x:v>
      </x:c>
      <x:c r="X67" s="31" t="str">
        <x:v>Common absolute-timescale and shared target-solution systematics are excluded from record-specific Layer B coverage.</x:v>
      </x:c>
      <x:c r="Y67" s="31" t="str">
        <x:v>Executable</x:v>
      </x:c>
      <x:c r="Z67" s="31" t="str"/>
      <x:c r="AA67" s="31" t="str">
        <x:v>https://www.theqstorm.org/data/aay5055_hull_sm.pdf</x:v>
      </x:c>
    </x:row>
    <x:row r="68" ht="19.200000762939453" hidden="0" customHeight="1">
      <x:c r="A68" s="30" t="str">
        <x:v>weathering::ODP1209C Os</x:v>
      </x:c>
      <x:c r="B68" s="30" t="str">
        <x:v>weathering</x:v>
      </x:c>
      <x:c r="C68" s="30" t="str">
        <x:v>ODP1209C Os</x:v>
      </x:c>
      <x:c r="D68" s="30" t="str">
        <x:v>Sediment</x:v>
      </x:c>
      <x:c r="E68" s="34" t="n">
        <x:v>47</x:v>
      </x:c>
      <x:c r="F68" s="34" t="str">
        <x:v>Astronomical/cyclostratigraphic tuning</x:v>
      </x:c>
      <x:c r="G68" s="34" t="str">
        <x:v>Cyclostratigraphic/astronomical tuning with 405-kyr eccentricity framework and K–Pg anchor; latest Maastrichtian extension</x:v>
      </x:c>
      <x:c r="H68" s="34" t="n">
        <x:v>1</x:v>
      </x:c>
      <x:c r="I68" s="34" t="n">
        <x:f>IF(H68=1,E68,0)</x:f>
        <x:v>47</x:v>
      </x:c>
      <x:c r="J68" s="34" t="n">
        <x:f>IF(H68=0,E68,0)</x:f>
        <x:v>0</x:v>
      </x:c>
      <x:c r="K68" s="30" t="str">
        <x:v>Primary retained</x:v>
      </x:c>
      <x:c r="L68" s="30" t="str">
        <x:v>chronology::ODP1209_shared</x:v>
      </x:c>
      <x:c r="M68" s="30" t="str">
        <x:v>CHR-P1-ODP1209-SHATSKY</x:v>
      </x:c>
      <x:c r="N68" s="30" t="str">
        <x:v>shared chronology-group whole-record shift</x:v>
      </x:c>
      <x:c r="O68" s="34" t="n">
        <x:v>-87</x:v>
      </x:c>
      <x:c r="P68" s="34" t="n">
        <x:v>87</x:v>
      </x:c>
      <x:c r="Q68" s="30" t="str">
        <x:v>kyr</x:v>
      </x:c>
      <x:c r="R68" s="30" t="str">
        <x:v>Bounded Uniform(-87,+87 kyr)</x:v>
      </x:c>
      <x:c r="S68" s="30" t="str">
        <x:v>Whole retained record</x:v>
      </x:c>
      <x:c r="T68" s="30" t="str">
        <x:v>One common ΔShatsky for every ODP 1209 member; ODP 1210 Layer B members reuse the same draw.</x:v>
      </x:c>
      <x:c r="U68" s="30" t="str">
        <x:v>Direct site-specific empirical mismatch / conservative bound</x:v>
      </x:c>
      <x:c r="V68" s="30" t="str">
        <x:v>Published ~87-kyr Shatsky–Walvis mismatch; retained as a conservative site-level stress bound, not a confidence interval.</x:v>
      </x:c>
      <x:c r="W68" s="30" t="str">
        <x:v>Dinarès-Turell et al. (2014); Westerhold et al. (2011); Woelders et al. (2017); Hull et al. (2020)</x:v>
      </x:c>
      <x:c r="X68" s="30" t="str">
        <x:v>Common absolute-timescale and shared target-solution systematics are excluded from record-specific Layer B coverage.</x:v>
      </x:c>
      <x:c r="Y68" s="30" t="str">
        <x:v>Executable</x:v>
      </x:c>
      <x:c r="Z68" s="30" t="str"/>
      <x:c r="AA68" s="30" t="str">
        <x:v>https://www.theqstorm.org/data/aay5055_hull_sm.pdf</x:v>
      </x:c>
    </x:row>
    <x:row r="69" ht="19.200000762939453" hidden="0" customHeight="1">
      <x:c r="A69" s="31" t="str">
        <x:v>weathering::ODP1262B Os</x:v>
      </x:c>
      <x:c r="B69" s="31" t="str">
        <x:v>weathering</x:v>
      </x:c>
      <x:c r="C69" s="31" t="str">
        <x:v>ODP1262B Os</x:v>
      </x:c>
      <x:c r="D69" s="31" t="str">
        <x:v>Sediment</x:v>
      </x:c>
      <x:c r="E69" s="35" t="n">
        <x:v>51</x:v>
      </x:c>
      <x:c r="F69" s="35" t="str">
        <x:v>Astronomical/cyclostratigraphic tuning</x:v>
      </x:c>
      <x:c r="G69" s="35" t="str">
        <x:v>405-kyr orbital tuning correlated to La2010b, with published tie points and K–Pg anchor</x:v>
      </x:c>
      <x:c r="H69" s="35" t="n">
        <x:v>1</x:v>
      </x:c>
      <x:c r="I69" s="35" t="n">
        <x:f>IF(H69=1,E69,0)</x:f>
        <x:v>51</x:v>
      </x:c>
      <x:c r="J69" s="35" t="n">
        <x:f>IF(H69=0,E69,0)</x:f>
        <x:v>0</x:v>
      </x:c>
      <x:c r="K69" s="31" t="str">
        <x:v>Layer B added</x:v>
      </x:c>
      <x:c r="L69" s="31" t="str">
        <x:v>chronology::ODP1262_shared</x:v>
      </x:c>
      <x:c r="M69" s="31" t="str">
        <x:v>CHR-B1-ODP1262</x:v>
      </x:c>
      <x:c r="N69" s="31" t="str">
        <x:v>shared chronology-group whole-record shift</x:v>
      </x:c>
      <x:c r="O69" s="35" t="n">
        <x:v>-40</x:v>
      </x:c>
      <x:c r="P69" s="35" t="n">
        <x:v>40</x:v>
      </x:c>
      <x:c r="Q69" s="31" t="str">
        <x:v>kyr</x:v>
      </x:c>
      <x:c r="R69" s="31" t="str">
        <x:v>Bounded Uniform(-40,+40 kyr)</x:v>
      </x:c>
      <x:c r="S69" s="31" t="str">
        <x:v>Whole retained record</x:v>
      </x:c>
      <x:c r="T69" s="31" t="str">
        <x:v>One common Δ1262 for all six operational records; preserve all within-site age spacing.</x:v>
      </x:c>
      <x:c r="U69" s="31" t="str">
        <x:v>Method-based one-cycle tuning ambiguity</x:v>
      </x:c>
      <x:c r="V69" s="31" t="str">
        <x:v>No local probability distribution is reported. Method literature supports ~20-kyr precession and ~40-kyr obliquity cycle ambiguity; ±40 kyr is used as the conservative bounded Layer B range. The ±50-kyr stress bound remains expanded-only.</x:v>
      </x:c>
      <x:c r="W69" s="31" t="str">
        <x:v>Dinarès-Turell et al. (2014); Barnet et al. (2019); Woelders et al. (2017); Hull et al. (2020)</x:v>
      </x:c>
      <x:c r="X69" s="31" t="str">
        <x:v>Common absolute-timescale and shared target-solution systematics are excluded from record-specific Layer B coverage.</x:v>
      </x:c>
      <x:c r="Y69" s="31" t="str">
        <x:v>Executable as method-based sensitivity</x:v>
      </x:c>
      <x:c r="Z69" s="31" t="str"/>
      <x:c r="AA69" s="31" t="str">
        <x:v>https://doi.org/10.1002/2014PA002762
https://doi.org/10.1016/j.epsl.2014.08.027</x:v>
      </x:c>
    </x:row>
    <x:row r="70" ht="15" hidden="0" customHeight="1">
      <x:c r="A70" s="30" t="str">
        <x:v>weathering::ODP525A Os</x:v>
      </x:c>
      <x:c r="B70" s="30" t="str">
        <x:v>weathering</x:v>
      </x:c>
      <x:c r="C70" s="30" t="str">
        <x:v>ODP525A Os</x:v>
      </x:c>
      <x:c r="D70" s="30" t="str">
        <x:v>Sediment</x:v>
      </x:c>
      <x:c r="E70" s="34" t="n">
        <x:v>8</x:v>
      </x:c>
      <x:c r="F70" s="34" t="str">
        <x:v>Segment/hiatus-related chronology</x:v>
      </x:c>
      <x:c r="G70" s="34" t="str">
        <x:v>DSDP 525A site chronology used by the Os compilation</x:v>
      </x:c>
      <x:c r="H70" s="34" t="n">
        <x:v>0</x:v>
      </x:c>
      <x:c r="I70" s="34" t="n">
        <x:f>IF(H70=1,E70,0)</x:f>
        <x:v>0</x:v>
      </x:c>
      <x:c r="J70" s="34" t="n">
        <x:f>IF(H70=0,E70,0)</x:f>
        <x:v>8</x:v>
      </x:c>
      <x:c r="K70" s="30" t="str">
        <x:v>Fixed</x:v>
      </x:c>
      <x:c r="L70" s="30" t="str">
        <x:v>chronology::ODP525A_Os</x:v>
      </x:c>
      <x:c r="M70" s="30" t="str"/>
      <x:c r="N70" s="30" t="str">
        <x:v>fixed</x:v>
      </x:c>
      <x:c r="O70" s="34"/>
      <x:c r="P70" s="34"/>
      <x:c r="Q70" s="30" t="str">
        <x:v>kyr</x:v>
      </x:c>
      <x:c r="R70" s="30" t="str">
        <x:v>Not randomized</x:v>
      </x:c>
      <x:c r="S70" s="30" t="str">
        <x:v>Not applicable</x:v>
      </x:c>
      <x:c r="T70" s="30" t="str">
        <x:v>A discrete alternative age-depth/hiatus model would be required.</x:v>
      </x:c>
      <x:c r="U70" s="30" t="str">
        <x:v>Structural or hiatus-related chronology</x:v>
      </x:c>
      <x:c r="V70" s="30" t="str">
        <x:v>A documented gap, hiatus or disconformity is not converted into a symmetric timing error or a whole-record shift.</x:v>
      </x:c>
      <x:c r="W70" s="30" t="str">
        <x:v>Robinson et al. (2009); Li &amp; Keller (1998)</x:v>
      </x:c>
      <x:c r="X70" s="30" t="str">
        <x:v>Common absolute-timescale and shared target-solution systematics are excluded from record-specific Layer B coverage.</x:v>
      </x:c>
      <x:c r="Y70" s="30" t="str">
        <x:v>Not executable without an explicit alternative age-depth model</x:v>
      </x:c>
      <x:c r="Z70" s="30" t="str">
        <x:v>Hiatus/structural correction cannot be treated as a timing-error distribution</x:v>
      </x:c>
      <x:c r="AA70" s="30" t="str">
        <x:v>https://geoweb.princeton.edu/archival/keller/Li_and_Keller_1998_Geol_525.pdf</x:v>
      </x:c>
    </x:row>
    <x:row r="71" ht="19.200000762939453" hidden="0" customHeight="1">
      <x:c r="A71" s="31" t="str">
        <x:v>weathering::ODP577 Os</x:v>
      </x:c>
      <x:c r="B71" s="31" t="str">
        <x:v>weathering</x:v>
      </x:c>
      <x:c r="C71" s="31" t="str">
        <x:v>ODP577 Os</x:v>
      </x:c>
      <x:c r="D71" s="31" t="str">
        <x:v>Sediment</x:v>
      </x:c>
      <x:c r="E71" s="35" t="n">
        <x:v>13</x:v>
      </x:c>
      <x:c r="F71" s="35" t="str">
        <x:v>Magnetostratigraphy/biostratigraphy without quantitative local bounds</x:v>
      </x:c>
      <x:c r="G71" s="35" t="str">
        <x:v>DSDP/ODP 577 site bio-magnetostratigraphic chronology used by the Os compilation</x:v>
      </x:c>
      <x:c r="H71" s="35" t="n">
        <x:v>0</x:v>
      </x:c>
      <x:c r="I71" s="35" t="n">
        <x:f>IF(H71=1,E71,0)</x:f>
        <x:v>0</x:v>
      </x:c>
      <x:c r="J71" s="35" t="n">
        <x:f>IF(H71=0,E71,0)</x:f>
        <x:v>13</x:v>
      </x:c>
      <x:c r="K71" s="31" t="str">
        <x:v>Fixed</x:v>
      </x:c>
      <x:c r="L71" s="31" t="str">
        <x:v>chronology::ODP577_Os</x:v>
      </x:c>
      <x:c r="M71" s="31" t="str"/>
      <x:c r="N71" s="31" t="str">
        <x:v>fixed</x:v>
      </x:c>
      <x:c r="O71" s="35"/>
      <x:c r="P71" s="35"/>
      <x:c r="Q71" s="31" t="str">
        <x:v>kyr</x:v>
      </x:c>
      <x:c r="R71" s="31" t="str">
        <x:v>Not randomized</x:v>
      </x:c>
      <x:c r="S71" s="31" t="str">
        <x:v>Not applicable</x:v>
      </x:c>
      <x:c r="T71" s="31" t="str">
        <x:v>Retain central ages until source-specific control-point bounds or alternative models are available.</x:v>
      </x:c>
      <x:c r="U71" s="31" t="str">
        <x:v>Method identified; no defensible transferable quantitative local range</x:v>
      </x:c>
      <x:c r="V71" s="31" t="str">
        <x:v>Method literature requires record-specific reversal/event depths, dated-horizon errors, local sedimentation constraints or alternative correlations; these cannot be inferred from the retained age sequence.</x:v>
      </x:c>
      <x:c r="W71" s="31" t="str">
        <x:v>Robinson et al. (2009); Zachos et al. (1985); Hull et al. (2020)</x:v>
      </x:c>
      <x:c r="X71" s="31" t="str">
        <x:v>Common absolute-timescale and shared target-solution systematics are excluded from record-specific Layer B coverage.</x:v>
      </x:c>
      <x:c r="Y71" s="31" t="str">
        <x:v>Fixed</x:v>
      </x:c>
      <x:c r="Z71" s="31" t="str">
        <x:v>Method identifiable but quantitative local controls remain unavailable</x:v>
      </x:c>
      <x:c r="AA71" s="31" t="str">
        <x:v>See record-specific chronology sources in the source audit</x:v>
      </x:c>
    </x:row>
    <x:row r="72" ht="19.200000762939453" hidden="0" customHeight="1">
      <x:c r="A72" s="30" t="str">
        <x:v>weathering::ODP690C Os</x:v>
      </x:c>
      <x:c r="B72" s="30" t="str">
        <x:v>weathering</x:v>
      </x:c>
      <x:c r="C72" s="30" t="str">
        <x:v>ODP690C Os</x:v>
      </x:c>
      <x:c r="D72" s="30" t="str">
        <x:v>Sediment</x:v>
      </x:c>
      <x:c r="E72" s="34" t="n">
        <x:v>46</x:v>
      </x:c>
      <x:c r="F72" s="34" t="str">
        <x:v>Magneto-/biostratigraphy with interval-specific truncation</x:v>
      </x:c>
      <x:c r="G72" s="34" t="str">
        <x:v>ODP 690 site magnetobiochronology/GTS age assignment used by the Os compilation</x:v>
      </x:c>
      <x:c r="H72" s="34" t="n">
        <x:v>1</x:v>
      </x:c>
      <x:c r="I72" s="34" t="n">
        <x:f>IF(H72=1,E72,0)</x:f>
        <x:v>46</x:v>
      </x:c>
      <x:c r="J72" s="34" t="n">
        <x:f>IF(H72=0,E72,0)</x:f>
        <x:v>0</x:v>
      </x:c>
      <x:c r="K72" s="30" t="str">
        <x:v>Layer B added</x:v>
      </x:c>
      <x:c r="L72" s="30" t="str">
        <x:v>chronology::ODP690C_Os</x:v>
      </x:c>
      <x:c r="M72" s="30" t="str">
        <x:v>CHR-B3-ODP690-POSTKPG</x:v>
      </x:c>
      <x:c r="N72" s="30" t="str">
        <x:v>shared segment-correlated shift</x:v>
      </x:c>
      <x:c r="O72" s="34" t="n">
        <x:v>-200</x:v>
      </x:c>
      <x:c r="P72" s="34" t="n">
        <x:v>0</x:v>
      </x:c>
      <x:c r="Q72" s="30" t="str">
        <x:v>kyr</x:v>
      </x:c>
      <x:c r="R72" s="30" t="str">
        <x:v>Bounded Uniform(-200,0 kyr)</x:v>
      </x:c>
      <x:c r="S72" s="30" t="str">
        <x:v>Only post-K–Pg/Danian observations (Age &lt; 66.016 Ma); pre-K–Pg ages fixed</x:v>
      </x:c>
      <x:c r="T72" s="30" t="str">
        <x:v>One common post-boundary segment shift for all three ODP 690 operational records; do not shift the full record.</x:v>
      </x:c>
      <x:c r="U72" s="30" t="str">
        <x:v>Record/site-specific asymmetric upper-bound sensitivity</x:v>
      </x:c>
      <x:c r="V72" s="30" t="str">
        <x:v>The source states that unrecognized truncation may make post-boundary ages too old by as much as 200 kyr. This is represented only as an asymmetric segment sensitivity, not as a hiatus duration or whole-record error.</x:v>
      </x:c>
      <x:c r="W72" s="30" t="str">
        <x:v>Robinson et al. (2009); Stott &amp; Kennett (1990)</x:v>
      </x:c>
      <x:c r="X72" s="30" t="str">
        <x:v>Common absolute-timescale and shared target-solution systematics are excluded from record-specific Layer B coverage.</x:v>
      </x:c>
      <x:c r="Y72" s="30" t="str">
        <x:v>Executable as segment sensitivity</x:v>
      </x:c>
      <x:c r="Z72" s="30" t="str"/>
      <x:c r="AA72" s="30" t="str">
        <x:v>https://www-odp.tamu.edu/publications/113_SR/VOLUME/CHAPTERS/sr113_48.pdf</x:v>
      </x:c>
    </x:row>
    <x:row r="73" ht="15" hidden="0" customHeight="1">
      <x:c r="A73" s="31" t="str">
        <x:v>weathering::Seymour Island, Antarctica Ca</x:v>
      </x:c>
      <x:c r="B73" s="31" t="str">
        <x:v>weathering</x:v>
      </x:c>
      <x:c r="C73" s="31" t="str">
        <x:v>Seymour Island, Antarctica Ca</x:v>
      </x:c>
      <x:c r="D73" s="31" t="str">
        <x:v>Bivalvia</x:v>
      </x:c>
      <x:c r="E73" s="35" t="n">
        <x:v>42</x:v>
      </x:c>
      <x:c r="F73" s="35" t="str">
        <x:v>Magnetostratigraphy + K–Pg tie-point section model</x:v>
      </x:c>
      <x:c r="G73" s="35" t="str">
        <x:v>Shared magnetostratigraphic control points plus K–Pg tie point; piecewise linear interpolation</x:v>
      </x:c>
      <x:c r="H73" s="35" t="n">
        <x:v>1</x:v>
      </x:c>
      <x:c r="I73" s="35" t="n">
        <x:f>IF(H73=1,E73,0)</x:f>
        <x:v>42</x:v>
      </x:c>
      <x:c r="J73" s="35" t="n">
        <x:f>IF(H73=0,E73,0)</x:f>
        <x:v>0</x:v>
      </x:c>
      <x:c r="K73" s="31" t="str">
        <x:v>Primary retained</x:v>
      </x:c>
      <x:c r="L73" s="31" t="str">
        <x:v>chronology::Seymour_Island_shared</x:v>
      </x:c>
      <x:c r="M73" s="31" t="str">
        <x:v>CHR-P3-SEYMOUR</x:v>
      </x:c>
      <x:c r="N73" s="31" t="str">
        <x:v>shared chronology-group whole-record shift</x:v>
      </x:c>
      <x:c r="O73" s="35" t="n">
        <x:v>-40</x:v>
      </x:c>
      <x:c r="P73" s="35" t="n">
        <x:v>40</x:v>
      </x:c>
      <x:c r="Q73" s="31" t="str">
        <x:v>kyr</x:v>
      </x:c>
      <x:c r="R73" s="31" t="str">
        <x:v>Bounded Uniform(-40,+40 kyr)</x:v>
      </x:c>
      <x:c r="S73" s="31" t="str">
        <x:v>Whole retained section</x:v>
      </x:c>
      <x:c r="T73" s="31" t="str">
        <x:v>One common ΔSeymour for all five proxy records using the shared section model.</x:v>
      </x:c>
      <x:c r="U73" s="31" t="str">
        <x:v>Record/site-specific conservative derivation</x:v>
      </x:c>
      <x:c r="V73" s="31" t="str">
        <x:v>Published ~4-m inter-framework agreement converted with local age–height slopes; maximum ~39.5 kyr rounded to 40 kyr.</x:v>
      </x:c>
      <x:c r="W73" s="31" t="str">
        <x:v>Petersen et al. (2016), Methods and Supplementary Table 1; Renne et al. (2013)</x:v>
      </x:c>
      <x:c r="X73" s="31" t="str">
        <x:v>Common absolute-timescale and shared target-solution systematics are excluded from record-specific Layer B coverage.</x:v>
      </x:c>
      <x:c r="Y73" s="31" t="str">
        <x:v>Executable</x:v>
      </x:c>
      <x:c r="Z73" s="31" t="str"/>
      <x:c r="AA73" s="31" t="str">
        <x:v>https://doi.org/10.1038/ncomms12079</x:v>
      </x:c>
    </x:row>
    <x:row r="74" ht="15" hidden="0" customHeight="1">
      <x:c r="A74" s="32" t="str">
        <x:v>weathering::Seymour Island, Antarctica Sr</x:v>
      </x:c>
      <x:c r="B74" s="32" t="str">
        <x:v>weathering</x:v>
      </x:c>
      <x:c r="C74" s="32" t="str">
        <x:v>Seymour Island, Antarctica Sr</x:v>
      </x:c>
      <x:c r="D74" s="32" t="str">
        <x:v>Bivalvia</x:v>
      </x:c>
      <x:c r="E74" s="36" t="n">
        <x:v>35</x:v>
      </x:c>
      <x:c r="F74" s="36" t="str">
        <x:v>Magnetostratigraphy + K–Pg tie-point section model</x:v>
      </x:c>
      <x:c r="G74" s="36" t="str">
        <x:v>Shared magnetostratigraphic control points plus K–Pg tie point; piecewise linear interpolation</x:v>
      </x:c>
      <x:c r="H74" s="36" t="n">
        <x:v>1</x:v>
      </x:c>
      <x:c r="I74" s="36" t="n">
        <x:f>IF(H74=1,E74,0)</x:f>
        <x:v>35</x:v>
      </x:c>
      <x:c r="J74" s="36" t="n">
        <x:f>IF(H74=0,E74,0)</x:f>
        <x:v>0</x:v>
      </x:c>
      <x:c r="K74" s="32" t="str">
        <x:v>Primary retained</x:v>
      </x:c>
      <x:c r="L74" s="32" t="str">
        <x:v>chronology::Seymour_Island_shared</x:v>
      </x:c>
      <x:c r="M74" s="32" t="str">
        <x:v>CHR-P3-SEYMOUR</x:v>
      </x:c>
      <x:c r="N74" s="32" t="str">
        <x:v>shared chronology-group whole-record shift</x:v>
      </x:c>
      <x:c r="O74" s="36" t="n">
        <x:v>-40</x:v>
      </x:c>
      <x:c r="P74" s="36" t="n">
        <x:v>40</x:v>
      </x:c>
      <x:c r="Q74" s="32" t="str">
        <x:v>kyr</x:v>
      </x:c>
      <x:c r="R74" s="32" t="str">
        <x:v>Bounded Uniform(-40,+40 kyr)</x:v>
      </x:c>
      <x:c r="S74" s="32" t="str">
        <x:v>Whole retained section</x:v>
      </x:c>
      <x:c r="T74" s="32" t="str">
        <x:v>One common ΔSeymour for all five proxy records using the shared section model.</x:v>
      </x:c>
      <x:c r="U74" s="32" t="str">
        <x:v>Record/site-specific conservative derivation</x:v>
      </x:c>
      <x:c r="V74" s="32" t="str">
        <x:v>Published ~4-m inter-framework agreement converted with local age–height slopes; maximum ~39.5 kyr rounded to 40 kyr.</x:v>
      </x:c>
      <x:c r="W74" s="32" t="str">
        <x:v>Petersen et al. (2016), Methods and Supplementary Table 1; Renne et al. (2013)</x:v>
      </x:c>
      <x:c r="X74" s="32" t="str">
        <x:v>Common absolute-timescale and shared target-solution systematics are excluded from record-specific Layer B coverage.</x:v>
      </x:c>
      <x:c r="Y74" s="32" t="str">
        <x:v>Executable</x:v>
      </x:c>
      <x:c r="Z74" s="32" t="str"/>
      <x:c r="AA74" s="32" t="str">
        <x:v>https://doi.org/10.1038/ncomms12079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" hidden="0" customWidth="1"/>
    <x:col min="2" max="2" width="16" hidden="0" customWidth="1"/>
    <x:col min="3" max="3" width="20" hidden="0" customWidth="1"/>
    <x:col min="4" max="4" width="16" hidden="0" customWidth="1"/>
    <x:col min="5" max="5" width="20" hidden="0" customWidth="1"/>
    <x:col min="6" max="6" width="16" hidden="0" customWidth="1"/>
    <x:col min="7" max="7" width="20" hidden="0" customWidth="1"/>
    <x:col min="8" max="8" width="88" hidden="0" customWidth="1"/>
  </x:cols>
  <x:sheetData>
    <x:row r="1" ht="30" customHeight="1">
      <x:c r="A1" s="3" t="str">
        <x:v>Chronology Layer B — method-class coverage</x:v>
      </x:c>
    </x:row>
    <x:row r="2" ht="44" customHeight="1">
      <x:c r="A2" s="7" t="str">
        <x:v>Counts and measurement coverage are formula-linked to the 70-record parameter sheet. Fixed does not mean zero true age uncertainty; it means no defensible quantitative perturbation is currently available.</x:v>
      </x:c>
    </x:row>
    <x:row r="4" ht="48" customHeight="1">
      <x:c r="A4" s="16" t="str">
        <x:v>chronology_method_class</x:v>
      </x:c>
      <x:c r="B4" s="17" t="str">
        <x:v>total_records</x:v>
      </x:c>
      <x:c r="C4" s="17" t="str">
        <x:v>total_measurements</x:v>
      </x:c>
      <x:c r="D4" s="17" t="str">
        <x:v>active_records</x:v>
      </x:c>
      <x:c r="E4" s="17" t="str">
        <x:v>active_measurements</x:v>
      </x:c>
      <x:c r="F4" s="17" t="str">
        <x:v>fixed_records</x:v>
      </x:c>
      <x:c r="G4" s="17" t="str">
        <x:v>fixed_measurements</x:v>
      </x:c>
      <x:c r="H4" s="18" t="str">
        <x:v>decision_note</x:v>
      </x:c>
    </x:row>
    <x:row r="5" ht="15" hidden="0" customHeight="1">
      <x:c r="A5" s="29" t="str">
        <x:v>Astronomical/cyclostratigraphic tuning</x:v>
      </x:c>
      <x:c r="B5" s="33" t="n">
        <x:f>COUNTIF('Record parameters'!$F$5:$F$74,A5)</x:f>
        <x:v>30</x:v>
      </x:c>
      <x:c r="C5" s="33" t="n">
        <x:f>SUMIF('Record parameters'!$F$5:$F$74,A5,'Record parameters'!$E$5:$E$74)</x:f>
        <x:v>8535</x:v>
      </x:c>
      <x:c r="D5" s="33" t="n">
        <x:f>SUMIF('Record parameters'!$F$5:$F$74,A5,'Record parameters'!$H$5:$H$74)</x:f>
        <x:v>30</x:v>
      </x:c>
      <x:c r="E5" s="33" t="n">
        <x:f>SUMIF('Record parameters'!$F$5:$F$74,A5,'Record parameters'!$I$5:$I$74)</x:f>
        <x:v>8535</x:v>
      </x:c>
      <x:c r="F5" s="33" t="n">
        <x:f>B5-D5</x:f>
        <x:v>0</x:v>
      </x:c>
      <x:c r="G5" s="33" t="n">
        <x:f>C5-E5</x:f>
        <x:v>0</x:v>
      </x:c>
      <x:c r="H5" s="29" t="str">
        <x:v>Primary site-specific groups retained; ODP1210, ODP1262 and ODP1267 added with group-correlated bounded sensitivities.</x:v>
      </x:c>
    </x:row>
    <x:row r="6" ht="15" hidden="0" customHeight="1">
      <x:c r="A6" s="30" t="str">
        <x:v>Magnetostratigraphy + K–Pg tie-point section model</x:v>
      </x:c>
      <x:c r="B6" s="34" t="n">
        <x:f>COUNTIF('Record parameters'!$F$5:$F$74,A6)</x:f>
        <x:v>5</x:v>
      </x:c>
      <x:c r="C6" s="34" t="n">
        <x:f>SUMIF('Record parameters'!$F$5:$F$74,A6,'Record parameters'!$E$5:$E$74)</x:f>
        <x:v>133</x:v>
      </x:c>
      <x:c r="D6" s="34" t="n">
        <x:f>SUMIF('Record parameters'!$F$5:$F$74,A6,'Record parameters'!$H$5:$H$74)</x:f>
        <x:v>5</x:v>
      </x:c>
      <x:c r="E6" s="34" t="n">
        <x:f>SUMIF('Record parameters'!$F$5:$F$74,A6,'Record parameters'!$I$5:$I$74)</x:f>
        <x:v>133</x:v>
      </x:c>
      <x:c r="F6" s="34" t="n">
        <x:f>B6-D6</x:f>
        <x:v>0</x:v>
      </x:c>
      <x:c r="G6" s="34" t="n">
        <x:f>C6-E6</x:f>
        <x:v>0</x:v>
      </x:c>
      <x:c r="H6" s="30" t="str">
        <x:v>Seymour Island primary group retained.</x:v>
      </x:c>
    </x:row>
    <x:row r="7" ht="15" hidden="0" customHeight="1">
      <x:c r="A7" s="31" t="str">
        <x:v>Magneto-/biostratigraphy with interval-specific truncation</x:v>
      </x:c>
      <x:c r="B7" s="35" t="n">
        <x:f>COUNTIF('Record parameters'!$F$5:$F$74,A7)</x:f>
        <x:v>3</x:v>
      </x:c>
      <x:c r="C7" s="35" t="n">
        <x:f>SUMIF('Record parameters'!$F$5:$F$74,A7,'Record parameters'!$E$5:$E$74)</x:f>
        <x:v>175</x:v>
      </x:c>
      <x:c r="D7" s="35" t="n">
        <x:f>SUMIF('Record parameters'!$F$5:$F$74,A7,'Record parameters'!$H$5:$H$74)</x:f>
        <x:v>3</x:v>
      </x:c>
      <x:c r="E7" s="35" t="n">
        <x:f>SUMIF('Record parameters'!$F$5:$F$74,A7,'Record parameters'!$I$5:$I$74)</x:f>
        <x:v>175</x:v>
      </x:c>
      <x:c r="F7" s="35" t="n">
        <x:f>B7-D7</x:f>
        <x:v>0</x:v>
      </x:c>
      <x:c r="G7" s="35" t="n">
        <x:f>C7-E7</x:f>
        <x:v>0</x:v>
      </x:c>
      <x:c r="H7" s="31" t="str">
        <x:v>ODP690 added only as an asymmetric post-boundary segment shift.</x:v>
      </x:c>
    </x:row>
    <x:row r="8" ht="15" hidden="0" customHeight="1">
      <x:c r="A8" s="30" t="str">
        <x:v>K–Pg boundary-anchored biostratigraphic/interpolated section</x:v>
      </x:c>
      <x:c r="B8" s="34" t="n">
        <x:f>COUNTIF('Record parameters'!$F$5:$F$74,A8)</x:f>
        <x:v>10</x:v>
      </x:c>
      <x:c r="C8" s="34" t="n">
        <x:f>SUMIF('Record parameters'!$F$5:$F$74,A8,'Record parameters'!$E$5:$E$74)</x:f>
        <x:v>346</x:v>
      </x:c>
      <x:c r="D8" s="34" t="n">
        <x:f>SUMIF('Record parameters'!$F$5:$F$74,A8,'Record parameters'!$H$5:$H$74)</x:f>
        <x:v>0</x:v>
      </x:c>
      <x:c r="E8" s="34" t="n">
        <x:f>SUMIF('Record parameters'!$F$5:$F$74,A8,'Record parameters'!$I$5:$I$74)</x:f>
        <x:v>0</x:v>
      </x:c>
      <x:c r="F8" s="34" t="n">
        <x:f>B8-D8</x:f>
        <x:v>10</x:v>
      </x:c>
      <x:c r="G8" s="34" t="n">
        <x:f>C8-E8</x:f>
        <x:v>346</x:v>
      </x:c>
      <x:c r="H8" s="30" t="str">
        <x:v>Fixed: available quantitative term is a common absolute-timescale systematic, not local record uncertainty.</x:v>
      </x:c>
    </x:row>
    <x:row r="9" ht="15" hidden="0" customHeight="1">
      <x:c r="A9" s="31" t="str">
        <x:v>Segment/hiatus-related chronology</x:v>
      </x:c>
      <x:c r="B9" s="35" t="n">
        <x:f>COUNTIF('Record parameters'!$F$5:$F$74,A9)</x:f>
        <x:v>6</x:v>
      </x:c>
      <x:c r="C9" s="35" t="n">
        <x:f>SUMIF('Record parameters'!$F$5:$F$74,A9,'Record parameters'!$E$5:$E$74)</x:f>
        <x:v>960</x:v>
      </x:c>
      <x:c r="D9" s="35" t="n">
        <x:f>SUMIF('Record parameters'!$F$5:$F$74,A9,'Record parameters'!$H$5:$H$74)</x:f>
        <x:v>0</x:v>
      </x:c>
      <x:c r="E9" s="35" t="n">
        <x:f>SUMIF('Record parameters'!$F$5:$F$74,A9,'Record parameters'!$I$5:$I$74)</x:f>
        <x:v>0</x:v>
      </x:c>
      <x:c r="F9" s="35" t="n">
        <x:f>B9-D9</x:f>
        <x:v>6</x:v>
      </x:c>
      <x:c r="G9" s="35" t="n">
        <x:f>C9-E9</x:f>
        <x:v>960</x:v>
      </x:c>
      <x:c r="H9" s="31" t="str">
        <x:v>Fixed: gap/hiatus duration is not converted into timing noise.</x:v>
      </x:c>
    </x:row>
    <x:row r="10" ht="15" hidden="0" customHeight="1">
      <x:c r="A10" s="30" t="str">
        <x:v>Magnetostratigraphy/biostratigraphy without quantitative local bounds</x:v>
      </x:c>
      <x:c r="B10" s="34" t="n">
        <x:f>COUNTIF('Record parameters'!$F$5:$F$74,A10)</x:f>
        <x:v>6</x:v>
      </x:c>
      <x:c r="C10" s="34" t="n">
        <x:f>SUMIF('Record parameters'!$F$5:$F$74,A10,'Record parameters'!$E$5:$E$74)</x:f>
        <x:v>169</x:v>
      </x:c>
      <x:c r="D10" s="34" t="n">
        <x:f>SUMIF('Record parameters'!$F$5:$F$74,A10,'Record parameters'!$H$5:$H$74)</x:f>
        <x:v>0</x:v>
      </x:c>
      <x:c r="E10" s="34" t="n">
        <x:f>SUMIF('Record parameters'!$F$5:$F$74,A10,'Record parameters'!$I$5:$I$74)</x:f>
        <x:v>0</x:v>
      </x:c>
      <x:c r="F10" s="34" t="n">
        <x:f>B10-D10</x:f>
        <x:v>6</x:v>
      </x:c>
      <x:c r="G10" s="34" t="n">
        <x:f>C10-E10</x:f>
        <x:v>169</x:v>
      </x:c>
      <x:c r="H10" s="30" t="str">
        <x:v>Fixed until source control-point depths/ages and local bounds are available.</x:v>
      </x:c>
    </x:row>
    <x:row r="11" ht="15" hidden="0" customHeight="1">
      <x:c r="A11" s="31" t="str">
        <x:v>Mixed terrestrial radiometric/magneto-/biostratigraphic chronology</x:v>
      </x:c>
      <x:c r="B11" s="35" t="n">
        <x:f>COUNTIF('Record parameters'!$F$5:$F$74,A11)</x:f>
        <x:v>9</x:v>
      </x:c>
      <x:c r="C11" s="35" t="n">
        <x:f>SUMIF('Record parameters'!$F$5:$F$74,A11,'Record parameters'!$E$5:$E$74)</x:f>
        <x:v>496</x:v>
      </x:c>
      <x:c r="D11" s="35" t="n">
        <x:f>SUMIF('Record parameters'!$F$5:$F$74,A11,'Record parameters'!$H$5:$H$74)</x:f>
        <x:v>0</x:v>
      </x:c>
      <x:c r="E11" s="35" t="n">
        <x:f>SUMIF('Record parameters'!$F$5:$F$74,A11,'Record parameters'!$I$5:$I$74)</x:f>
        <x:v>0</x:v>
      </x:c>
      <x:c r="F11" s="35" t="n">
        <x:f>B11-D11</x:f>
        <x:v>9</x:v>
      </x:c>
      <x:c r="G11" s="35" t="n">
        <x:f>C11-E11</x:f>
        <x:v>496</x:v>
      </x:c>
      <x:c r="H11" s="31" t="str">
        <x:v>Fixed: no transferable method-level bound across heterogeneous local age models.</x:v>
      </x:c>
    </x:row>
    <x:row r="12" ht="15" hidden="0" customHeight="1">
      <x:c r="A12" s="32" t="str">
        <x:v>Pooled heterogeneous source chronologies</x:v>
      </x:c>
      <x:c r="B12" s="36" t="n">
        <x:f>COUNTIF('Record parameters'!$F$5:$F$74,A12)</x:f>
        <x:v>1</x:v>
      </x:c>
      <x:c r="C12" s="36" t="n">
        <x:f>SUMIF('Record parameters'!$F$5:$F$74,A12,'Record parameters'!$E$5:$E$74)</x:f>
        <x:v>67</x:v>
      </x:c>
      <x:c r="D12" s="36" t="n">
        <x:f>SUMIF('Record parameters'!$F$5:$F$74,A12,'Record parameters'!$H$5:$H$74)</x:f>
        <x:v>0</x:v>
      </x:c>
      <x:c r="E12" s="36" t="n">
        <x:f>SUMIF('Record parameters'!$F$5:$F$74,A12,'Record parameters'!$I$5:$I$74)</x:f>
        <x:v>0</x:v>
      </x:c>
      <x:c r="F12" s="36" t="n">
        <x:f>B12-D12</x:f>
        <x:v>1</x:v>
      </x:c>
      <x:c r="G12" s="36" t="n">
        <x:f>C12-E12</x:f>
        <x:v>67</x:v>
      </x:c>
      <x:c r="H12" s="32" t="str">
        <x:v>Fixed until observations are mapped to source/site chronologies.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27" hidden="0" customWidth="1"/>
    <x:col min="4" max="4" width="16" hidden="0" customWidth="1"/>
    <x:col min="5" max="5" width="48" hidden="0" customWidth="1"/>
    <x:col min="6" max="6" width="35" hidden="0" customWidth="1"/>
    <x:col min="7" max="7" width="58" hidden="0" customWidth="1"/>
    <x:col min="8" max="8" width="82" hidden="0" customWidth="1"/>
    <x:col min="9" max="9" width="58" hidden="0" customWidth="1"/>
    <x:col min="10" max="10" width="62" hidden="0" customWidth="1"/>
  </x:cols>
  <x:sheetData>
    <x:row r="1" ht="30" customHeight="1">
      <x:c r="A1" s="3" t="str">
        <x:v>Chronology Layer B — records remaining fixed</x:v>
      </x:c>
    </x:row>
    <x:row r="2" ht="44" customHeight="1">
      <x:c r="A2" s="7" t="str">
        <x:v>Thirty-two records remain fixed because only common systematics are quantitative, a structural/hiatus model is required, no transferable local range exists, or pooled rows lack source-level chronology mapping.</x:v>
      </x:c>
    </x:row>
    <x:row r="4" ht="48" customHeight="1">
      <x:c r="A4" s="16" t="str">
        <x:v>record_id</x:v>
      </x:c>
      <x:c r="B4" s="17" t="str">
        <x:v>category</x:v>
      </x:c>
      <x:c r="C4" s="17" t="str">
        <x:v>sheet</x:v>
      </x:c>
      <x:c r="D4" s="17" t="str">
        <x:v>n_measurements</x:v>
      </x:c>
      <x:c r="E4" s="17" t="str">
        <x:v>chronology_method_class</x:v>
      </x:c>
      <x:c r="F4" s="17" t="str">
        <x:v>source_chronology_group</x:v>
      </x:c>
      <x:c r="G4" s="17" t="str">
        <x:v>fixed_reason</x:v>
      </x:c>
      <x:c r="H4" s="17" t="str">
        <x:v>evidence_or_required_next_step</x:v>
      </x:c>
      <x:c r="I4" s="17" t="str">
        <x:v>chronology_sources</x:v>
      </x:c>
      <x:c r="J4" s="18" t="str">
        <x:v>source_URL_or_audit_path</x:v>
      </x:c>
    </x:row>
    <x:row r="5" ht="19.200000762939453" hidden="0" customHeight="1">
      <x:c r="A5" s="29" t="str">
        <x:v>d13C::Nanxiong Basin</x:v>
      </x:c>
      <x:c r="B5" s="29" t="str">
        <x:v>d13C</x:v>
      </x:c>
      <x:c r="C5" s="29" t="str">
        <x:v>Nanxiong Basin</x:v>
      </x:c>
      <x:c r="D5" s="33" t="n">
        <x:v>64</x:v>
      </x:c>
      <x:c r="E5" s="29" t="str">
        <x:v>Mixed terrestrial radiometric/magneto-/biostratigraphic chronology</x:v>
      </x:c>
      <x:c r="F5" s="29" t="str">
        <x:v>chronology::Nanxiong_Basin</x:v>
      </x:c>
      <x:c r="G5" s="29" t="str">
        <x:v>Method identifiable but quantitative local controls remain unavailable</x:v>
      </x:c>
      <x:c r="H5" s="29" t="str">
        <x:v>Method literature requires record-specific reversal/event depths, dated-horizon errors, local sedimentation constraints or alternative correlations; these cannot be inferred from the retained age sequence.</x:v>
      </x:c>
      <x:c r="I5" s="29" t="str">
        <x:v>Ma/Wang et al. (2024) and cited Zhao et al. (1991), Erben et al. (1995), Zhang et al. (2006), Clyde et al. (2010), Li et al. (2010), Zhang &amp; Li (2010), Tong et al. (2013)</x:v>
      </x:c>
      <x:c r="J5" s="29" t="str">
        <x:v>https://doi.org/10.1016/j.palaeo.2024.112177</x:v>
      </x:c>
    </x:row>
    <x:row r="6" ht="19.200000762939453" hidden="0" customHeight="1">
      <x:c r="A6" s="30" t="str">
        <x:v>d13C::Songliao Basin</x:v>
      </x:c>
      <x:c r="B6" s="30" t="str">
        <x:v>d13C</x:v>
      </x:c>
      <x:c r="C6" s="30" t="str">
        <x:v>Songliao Basin</x:v>
      </x:c>
      <x:c r="D6" s="34" t="n">
        <x:v>126</x:v>
      </x:c>
      <x:c r="E6" s="30" t="str">
        <x:v>Mixed terrestrial radiometric/magneto-/biostratigraphic chronology</x:v>
      </x:c>
      <x:c r="F6" s="30" t="str">
        <x:v>chronology::Songliao_Basin</x:v>
      </x:c>
      <x:c r="G6" s="30" t="str">
        <x:v>Method identifiable but quantitative local controls remain unavailable</x:v>
      </x:c>
      <x:c r="H6" s="30" t="str">
        <x:v>Method literature requires record-specific reversal/event depths, dated-horizon errors, local sedimentation constraints or alternative correlations; these cannot be inferred from the retained age sequence.</x:v>
      </x:c>
      <x:c r="I6" s="30" t="str">
        <x:v>Deng et al. (2013); He et al. (2012); Zhang et al. (2018)</x:v>
      </x:c>
      <x:c r="J6" s="30" t="str">
        <x:v>See record-specific chronology sources in the source audit</x:v>
      </x:c>
    </x:row>
    <x:row r="7" ht="19.200000762939453" hidden="0" customHeight="1">
      <x:c r="A7" s="31" t="str">
        <x:v>d13C::Songliao Basin 2</x:v>
      </x:c>
      <x:c r="B7" s="31" t="str">
        <x:v>d13C</x:v>
      </x:c>
      <x:c r="C7" s="31" t="str">
        <x:v>Songliao Basin 2</x:v>
      </x:c>
      <x:c r="D7" s="35" t="n">
        <x:v>32</x:v>
      </x:c>
      <x:c r="E7" s="31" t="str">
        <x:v>Mixed terrestrial radiometric/magneto-/biostratigraphic chronology</x:v>
      </x:c>
      <x:c r="F7" s="31" t="str">
        <x:v>chronology::Songliao_Basin_2</x:v>
      </x:c>
      <x:c r="G7" s="31" t="str">
        <x:v>Method identifiable but quantitative local controls remain unavailable</x:v>
      </x:c>
      <x:c r="H7" s="31" t="str">
        <x:v>Method literature requires record-specific reversal/event depths, dated-horizon errors, local sedimentation constraints or alternative correlations; these cannot be inferred from the retained age sequence.</x:v>
      </x:c>
      <x:c r="I7" s="31" t="str">
        <x:v>Chamberlain et al. (2013); Deng et al. (2013); He et al. (2012)</x:v>
      </x:c>
      <x:c r="J7" s="31" t="str">
        <x:v>See record-specific chronology sources in the source audit</x:v>
      </x:c>
    </x:row>
    <x:row r="8" ht="19.200000762939453" hidden="0" customHeight="1">
      <x:c r="A8" s="30" t="str">
        <x:v>d18O::DSDP465</x:v>
      </x:c>
      <x:c r="B8" s="30" t="str">
        <x:v>d18O</x:v>
      </x:c>
      <x:c r="C8" s="30" t="str">
        <x:v>DSDP465</x:v>
      </x:c>
      <x:c r="D8" s="34" t="n">
        <x:v>21</x:v>
      </x:c>
      <x:c r="E8" s="30" t="str">
        <x:v>Magnetostratigraphy/biostratigraphy without quantitative local bounds</x:v>
      </x:c>
      <x:c r="F8" s="30" t="str">
        <x:v>chronology::DSDP465</x:v>
      </x:c>
      <x:c r="G8" s="30" t="str">
        <x:v>Method identifiable but quantitative local controls remain unavailable</x:v>
      </x:c>
      <x:c r="H8" s="30" t="str">
        <x:v>Method literature requires record-specific reversal/event depths, dated-horizon errors, local sedimentation constraints or alternative correlations; these cannot be inferred from the retained age sequence.</x:v>
      </x:c>
      <x:c r="I8" s="30" t="str">
        <x:v>Alegret et al. (2012) and cited DSDP 465 chronology</x:v>
      </x:c>
      <x:c r="J8" s="30" t="str">
        <x:v>See record-specific chronology sources in the source audit</x:v>
      </x:c>
    </x:row>
    <x:row r="9" ht="19.200000762939453" hidden="0" customHeight="1">
      <x:c r="A9" s="31" t="str">
        <x:v>d18O::Nanxiong Basin</x:v>
      </x:c>
      <x:c r="B9" s="31" t="str">
        <x:v>d18O</x:v>
      </x:c>
      <x:c r="C9" s="31" t="str">
        <x:v>Nanxiong Basin</x:v>
      </x:c>
      <x:c r="D9" s="35" t="n">
        <x:v>64</x:v>
      </x:c>
      <x:c r="E9" s="31" t="str">
        <x:v>Mixed terrestrial radiometric/magneto-/biostratigraphic chronology</x:v>
      </x:c>
      <x:c r="F9" s="31" t="str">
        <x:v>chronology::Nanxiong_Basin</x:v>
      </x:c>
      <x:c r="G9" s="31" t="str">
        <x:v>Method identifiable but quantitative local controls remain unavailable</x:v>
      </x:c>
      <x:c r="H9" s="31" t="str">
        <x:v>Method literature requires record-specific reversal/event depths, dated-horizon errors, local sedimentation constraints or alternative correlations; these cannot be inferred from the retained age sequence.</x:v>
      </x:c>
      <x:c r="I9" s="31" t="str">
        <x:v>Ma/Wang et al. (2024) and cited Zhao et al. (1991), Erben et al. (1995), Zhang et al. (2006), Clyde et al. (2010), Li et al. (2010), Zhang &amp; Li (2010), Tong et al. (2013)</x:v>
      </x:c>
      <x:c r="J9" s="31" t="str">
        <x:v>https://doi.org/10.1016/j.palaeo.2024.112177</x:v>
      </x:c>
    </x:row>
    <x:row r="10" ht="19.200000762939453" hidden="0" customHeight="1">
      <x:c r="A10" s="30" t="str">
        <x:v>d18O::Songliao Basin</x:v>
      </x:c>
      <x:c r="B10" s="30" t="str">
        <x:v>d18O</x:v>
      </x:c>
      <x:c r="C10" s="30" t="str">
        <x:v>Songliao Basin</x:v>
      </x:c>
      <x:c r="D10" s="34" t="n">
        <x:v>126</x:v>
      </x:c>
      <x:c r="E10" s="30" t="str">
        <x:v>Mixed terrestrial radiometric/magneto-/biostratigraphic chronology</x:v>
      </x:c>
      <x:c r="F10" s="30" t="str">
        <x:v>chronology::Songliao_Basin</x:v>
      </x:c>
      <x:c r="G10" s="30" t="str">
        <x:v>Method identifiable but quantitative local controls remain unavailable</x:v>
      </x:c>
      <x:c r="H10" s="30" t="str">
        <x:v>Method literature requires record-specific reversal/event depths, dated-horizon errors, local sedimentation constraints or alternative correlations; these cannot be inferred from the retained age sequence.</x:v>
      </x:c>
      <x:c r="I10" s="30" t="str">
        <x:v>Deng et al. (2013); He et al. (2012); Zhang et al. (2018)</x:v>
      </x:c>
      <x:c r="J10" s="30" t="str">
        <x:v>See record-specific chronology sources in the source audit</x:v>
      </x:c>
    </x:row>
    <x:row r="11" ht="19.200000762939453" hidden="0" customHeight="1">
      <x:c r="A11" s="31" t="str">
        <x:v>d18O::Songliao Basin 2</x:v>
      </x:c>
      <x:c r="B11" s="31" t="str">
        <x:v>d18O</x:v>
      </x:c>
      <x:c r="C11" s="31" t="str">
        <x:v>Songliao Basin 2</x:v>
      </x:c>
      <x:c r="D11" s="35" t="n">
        <x:v>32</x:v>
      </x:c>
      <x:c r="E11" s="31" t="str">
        <x:v>Mixed terrestrial radiometric/magneto-/biostratigraphic chronology</x:v>
      </x:c>
      <x:c r="F11" s="31" t="str">
        <x:v>chronology::Songliao_Basin_2</x:v>
      </x:c>
      <x:c r="G11" s="31" t="str">
        <x:v>Method identifiable but quantitative local controls remain unavailable</x:v>
      </x:c>
      <x:c r="H11" s="31" t="str">
        <x:v>Method literature requires record-specific reversal/event depths, dated-horizon errors, local sedimentation constraints or alternative correlations; these cannot be inferred from the retained age sequence.</x:v>
      </x:c>
      <x:c r="I11" s="31" t="str">
        <x:v>Chamberlain et al. (2013); Deng et al. (2013); He et al. (2012)</x:v>
      </x:c>
      <x:c r="J11" s="31" t="str">
        <x:v>See record-specific chronology sources in the source audit</x:v>
      </x:c>
    </x:row>
    <x:row r="12" ht="15" hidden="0" customHeight="1">
      <x:c r="A12" s="30" t="str">
        <x:v>d18O::Stevns-1 Core</x:v>
      </x:c>
      <x:c r="B12" s="30" t="str">
        <x:v>d18O</x:v>
      </x:c>
      <x:c r="C12" s="30" t="str">
        <x:v>Stevns-1 Core</x:v>
      </x:c>
      <x:c r="D12" s="34" t="n">
        <x:v>774</x:v>
      </x:c>
      <x:c r="E12" s="30" t="str">
        <x:v>Segment/hiatus-related chronology</x:v>
      </x:c>
      <x:c r="F12" s="30" t="str">
        <x:v>chronology::Stevns-1_Core</x:v>
      </x:c>
      <x:c r="G12" s="30" t="str">
        <x:v>Hiatus/structural correction cannot be treated as a timing-error distribution</x:v>
      </x:c>
      <x:c r="H12" s="30" t="str">
        <x:v>A documented gap, hiatus or disconformity is not converted into a symmetric timing error or a whole-record shift.</x:v>
      </x:c>
      <x:c r="I12" s="30" t="str">
        <x:v>Thibault et al. (2016); Thibault et al. (2012)</x:v>
      </x:c>
      <x:c r="J12" s="30" t="str">
        <x:v>https://cp.copernicus.org/articles/12/429/2016/</x:v>
      </x:c>
    </x:row>
    <x:row r="13" ht="15" hidden="0" customHeight="1">
      <x:c r="A13" s="31" t="str">
        <x:v>pCO2::all data</x:v>
      </x:c>
      <x:c r="B13" s="31" t="str">
        <x:v>pCO2</x:v>
      </x:c>
      <x:c r="C13" s="31" t="str">
        <x:v>all data</x:v>
      </x:c>
      <x:c r="D13" s="35" t="n">
        <x:v>67</x:v>
      </x:c>
      <x:c r="E13" s="31" t="str">
        <x:v>Pooled heterogeneous source chronologies</x:v>
      </x:c>
      <x:c r="F13" s="31" t="str">
        <x:v>chronology::all_data</x:v>
      </x:c>
      <x:c r="G13" s="31" t="str">
        <x:v>Pooled mixed-source chronology cannot use one record-level perturbation</x:v>
      </x:c>
      <x:c r="H13" s="31" t="str">
        <x:v>The pooled pCO2 record combines multiple source/site age models; no single timing range or correlation structure is defensible.</x:v>
      </x:c>
      <x:c r="I13" s="31" t="str">
        <x:v>Kowalczyk et al. (2018); Henehan et al. (2019); Milligan et al. (2019, 2022); Zhang et al. (2018)</x:v>
      </x:c>
      <x:c r="J13" s="31" t="str">
        <x:v>See pooled pCO2 provenance sources in the closure inventory</x:v>
      </x:c>
    </x:row>
    <x:row r="14" ht="15" hidden="0" customHeight="1">
      <x:c r="A14" s="30" t="str">
        <x:v>temperature::Bajada del Jagüel</x:v>
      </x:c>
      <x:c r="B14" s="30" t="str">
        <x:v>temperature</x:v>
      </x:c>
      <x:c r="C14" s="30" t="str">
        <x:v>Bajada del Jagüel</x:v>
      </x:c>
      <x:c r="D14" s="34" t="n">
        <x:v>26</x:v>
      </x:c>
      <x:c r="E14" s="30" t="str">
        <x:v>K–Pg boundary-anchored biostratigraphic/interpolated section</x:v>
      </x:c>
      <x:c r="F14" s="30" t="str">
        <x:v>chronology::Bajada_del_Jagüel</x:v>
      </x:c>
      <x:c r="G14" s="30" t="str">
        <x:v>Only common/shared systematic; no independent local timing bound</x:v>
      </x:c>
      <x:c r="H14" s="30" t="str">
        <x:v>The audited quantitative term is the common K–Pg absolute-age calibration; no transferable local interpolation/bioevent range was found.</x:v>
      </x:c>
      <x:c r="I14" s="30" t="str">
        <x:v>Woelders et al. (2017)</x:v>
      </x:c>
      <x:c r="J14" s="30" t="str">
        <x:v>https://doi.org/10.1126/science.1230492</x:v>
      </x:c>
    </x:row>
    <x:row r="15" ht="15" hidden="0" customHeight="1">
      <x:c r="A15" s="31" t="str">
        <x:v>temperature::Bass River</x:v>
      </x:c>
      <x:c r="B15" s="31" t="str">
        <x:v>temperature</x:v>
      </x:c>
      <x:c r="C15" s="31" t="str">
        <x:v>Bass River</x:v>
      </x:c>
      <x:c r="D15" s="35" t="n">
        <x:v>14</x:v>
      </x:c>
      <x:c r="E15" s="31" t="str">
        <x:v>K–Pg boundary-anchored biostratigraphic/interpolated section</x:v>
      </x:c>
      <x:c r="F15" s="31" t="str">
        <x:v>chronology::Bass_River_shared</x:v>
      </x:c>
      <x:c r="G15" s="31" t="str">
        <x:v>Only common/shared systematic; no independent local timing bound</x:v>
      </x:c>
      <x:c r="H15" s="31" t="str">
        <x:v>The audited quantitative term is the common K–Pg absolute-age calibration; no transferable local interpolation/bioevent range was found.</x:v>
      </x:c>
      <x:c r="I15" s="31" t="str">
        <x:v>Esmeray-Senlet et al. (2015); Woelders et al. (2018)</x:v>
      </x:c>
      <x:c r="J15" s="31" t="str">
        <x:v>https://doi.org/10.1126/science.1230492</x:v>
      </x:c>
    </x:row>
    <x:row r="16" ht="15" hidden="0" customHeight="1">
      <x:c r="A16" s="30" t="str">
        <x:v>temperature::Bass River 2</x:v>
      </x:c>
      <x:c r="B16" s="30" t="str">
        <x:v>temperature</x:v>
      </x:c>
      <x:c r="C16" s="30" t="str">
        <x:v>Bass River 2</x:v>
      </x:c>
      <x:c r="D16" s="34" t="n">
        <x:v>34</x:v>
      </x:c>
      <x:c r="E16" s="30" t="str">
        <x:v>K–Pg boundary-anchored biostratigraphic/interpolated section</x:v>
      </x:c>
      <x:c r="F16" s="30" t="str">
        <x:v>chronology::Bass_River_shared</x:v>
      </x:c>
      <x:c r="G16" s="30" t="str">
        <x:v>Only common/shared systematic; no independent local timing bound</x:v>
      </x:c>
      <x:c r="H16" s="30" t="str">
        <x:v>The audited quantitative term is the common K–Pg absolute-age calibration; no transferable local interpolation/bioevent range was found.</x:v>
      </x:c>
      <x:c r="I16" s="30" t="str">
        <x:v>Esmeray-Senlet et al. (2015); Woelders et al. (2018)</x:v>
      </x:c>
      <x:c r="J16" s="30" t="str">
        <x:v>https://doi.org/10.1126/science.1230492</x:v>
      </x:c>
    </x:row>
    <x:row r="17" ht="15" hidden="0" customHeight="1">
      <x:c r="A17" s="31" t="str">
        <x:v>temperature::Bass River 3</x:v>
      </x:c>
      <x:c r="B17" s="31" t="str">
        <x:v>temperature</x:v>
      </x:c>
      <x:c r="C17" s="31" t="str">
        <x:v>Bass River 3</x:v>
      </x:c>
      <x:c r="D17" s="35" t="n">
        <x:v>25</x:v>
      </x:c>
      <x:c r="E17" s="31" t="str">
        <x:v>K–Pg boundary-anchored biostratigraphic/interpolated section</x:v>
      </x:c>
      <x:c r="F17" s="31" t="str">
        <x:v>chronology::Bass_River_shared</x:v>
      </x:c>
      <x:c r="G17" s="31" t="str">
        <x:v>Only common/shared systematic; no independent local timing bound</x:v>
      </x:c>
      <x:c r="H17" s="31" t="str">
        <x:v>The audited quantitative term is the common K–Pg absolute-age calibration; no transferable local interpolation/bioevent range was found.</x:v>
      </x:c>
      <x:c r="I17" s="31" t="str">
        <x:v>Esmeray-Senlet et al. (2015); Woelders et al. (2018)</x:v>
      </x:c>
      <x:c r="J17" s="31" t="str">
        <x:v>https://doi.org/10.1126/science.1230492</x:v>
      </x:c>
    </x:row>
    <x:row r="18" ht="15" hidden="0" customHeight="1">
      <x:c r="A18" s="30" t="str">
        <x:v>temperature::Bass River 4</x:v>
      </x:c>
      <x:c r="B18" s="30" t="str">
        <x:v>temperature</x:v>
      </x:c>
      <x:c r="C18" s="30" t="str">
        <x:v>Bass River 4</x:v>
      </x:c>
      <x:c r="D18" s="34" t="n">
        <x:v>39</x:v>
      </x:c>
      <x:c r="E18" s="30" t="str">
        <x:v>K–Pg boundary-anchored biostratigraphic/interpolated section</x:v>
      </x:c>
      <x:c r="F18" s="30" t="str">
        <x:v>chronology::Bass_River_shared</x:v>
      </x:c>
      <x:c r="G18" s="30" t="str">
        <x:v>Only common/shared systematic; no independent local timing bound</x:v>
      </x:c>
      <x:c r="H18" s="30" t="str">
        <x:v>The audited quantitative term is the common K–Pg absolute-age calibration; no transferable local interpolation/bioevent range was found.</x:v>
      </x:c>
      <x:c r="I18" s="30" t="str">
        <x:v>Esmeray-Senlet et al. (2015); Woelders et al. (2018)</x:v>
      </x:c>
      <x:c r="J18" s="30" t="str">
        <x:v>https://doi.org/10.1126/science.1230492</x:v>
      </x:c>
    </x:row>
    <x:row r="19" ht="15" hidden="0" customHeight="1">
      <x:c r="A19" s="31" t="str">
        <x:v>temperature::Brazos River</x:v>
      </x:c>
      <x:c r="B19" s="31" t="str">
        <x:v>temperature</x:v>
      </x:c>
      <x:c r="C19" s="31" t="str">
        <x:v>Brazos River</x:v>
      </x:c>
      <x:c r="D19" s="35" t="n">
        <x:v>54</x:v>
      </x:c>
      <x:c r="E19" s="31" t="str">
        <x:v>K–Pg boundary-anchored biostratigraphic/interpolated section</x:v>
      </x:c>
      <x:c r="F19" s="31" t="str">
        <x:v>chronology::Brazos_River</x:v>
      </x:c>
      <x:c r="G19" s="31" t="str">
        <x:v>Only common/shared systematic; no independent local timing bound</x:v>
      </x:c>
      <x:c r="H19" s="31" t="str">
        <x:v>The audited quantitative term is the common K–Pg absolute-age calibration; no transferable local interpolation/bioevent range was found.</x:v>
      </x:c>
      <x:c r="I19" s="31" t="str">
        <x:v>Vellekoop et al. (2014) and supplementary age model</x:v>
      </x:c>
      <x:c r="J19" s="31" t="str">
        <x:v>https://doi.org/10.1126/science.1230492</x:v>
      </x:c>
    </x:row>
    <x:row r="20" ht="15" hidden="0" customHeight="1">
      <x:c r="A20" s="30" t="str">
        <x:v>temperature::DSDP384</x:v>
      </x:c>
      <x:c r="B20" s="30" t="str">
        <x:v>temperature</x:v>
      </x:c>
      <x:c r="C20" s="30" t="str">
        <x:v>DSDP384</x:v>
      </x:c>
      <x:c r="D20" s="34" t="n">
        <x:v>13</x:v>
      </x:c>
      <x:c r="E20" s="30" t="str">
        <x:v>Segment/hiatus-related chronology</x:v>
      </x:c>
      <x:c r="F20" s="30" t="str">
        <x:v>chronology::DSDP384</x:v>
      </x:c>
      <x:c r="G20" s="30" t="str">
        <x:v>Hiatus/structural correction cannot be treated as a timing-error distribution</x:v>
      </x:c>
      <x:c r="H20" s="30" t="str">
        <x:v>A documented gap, hiatus or disconformity is not converted into a symmetric timing error or a whole-record shift.</x:v>
      </x:c>
      <x:c r="I20" s="30" t="str">
        <x:v>Berggren &amp; Norris (1997); Berggren et al. (2000)</x:v>
      </x:c>
      <x:c r="J20" s="30" t="str">
        <x:v>https://doi.org/10.1130/0091-7613(2000)28%3C1011:LMACSC%3E2.0.CO;2</x:v>
      </x:c>
    </x:row>
    <x:row r="21" ht="15" hidden="0" customHeight="1">
      <x:c r="A21" s="31" t="str">
        <x:v>temperature::DSDP525</x:v>
      </x:c>
      <x:c r="B21" s="31" t="str">
        <x:v>temperature</x:v>
      </x:c>
      <x:c r="C21" s="31" t="str">
        <x:v>DSDP525</x:v>
      </x:c>
      <x:c r="D21" s="35" t="n">
        <x:v>72</x:v>
      </x:c>
      <x:c r="E21" s="31" t="str">
        <x:v>Segment/hiatus-related chronology</x:v>
      </x:c>
      <x:c r="F21" s="31" t="str">
        <x:v>chronology::DSDP525</x:v>
      </x:c>
      <x:c r="G21" s="31" t="str">
        <x:v>Hiatus/structural correction cannot be treated as a timing-error distribution</x:v>
      </x:c>
      <x:c r="H21" s="31" t="str">
        <x:v>A documented gap, hiatus or disconformity is not converted into a symmetric timing error or a whole-record shift.</x:v>
      </x:c>
      <x:c r="I21" s="31" t="str">
        <x:v>Li &amp; Keller (1998); Cande &amp; Kent (1995); Hull et al. (2020)</x:v>
      </x:c>
      <x:c r="J21" s="31" t="str">
        <x:v>https://geoweb.princeton.edu/archival/keller/Li_and_Keller_1998_Geol_525.pdf</x:v>
      </x:c>
    </x:row>
    <x:row r="22" ht="15" hidden="0" customHeight="1">
      <x:c r="A22" s="30" t="str">
        <x:v>temperature::DSDP525 2</x:v>
      </x:c>
      <x:c r="B22" s="30" t="str">
        <x:v>temperature</x:v>
      </x:c>
      <x:c r="C22" s="30" t="str">
        <x:v>DSDP525 2</x:v>
      </x:c>
      <x:c r="D22" s="34" t="n">
        <x:v>71</x:v>
      </x:c>
      <x:c r="E22" s="30" t="str">
        <x:v>Segment/hiatus-related chronology</x:v>
      </x:c>
      <x:c r="F22" s="30" t="str">
        <x:v>chronology::DSDP525_2</x:v>
      </x:c>
      <x:c r="G22" s="30" t="str">
        <x:v>Hiatus/structural correction cannot be treated as a timing-error distribution</x:v>
      </x:c>
      <x:c r="H22" s="30" t="str">
        <x:v>A documented gap, hiatus or disconformity is not converted into a symmetric timing error or a whole-record shift.</x:v>
      </x:c>
      <x:c r="I22" s="30" t="str">
        <x:v>Li &amp; Keller (1998); Cande &amp; Kent (1995); Hull et al. (2020)</x:v>
      </x:c>
      <x:c r="J22" s="30" t="str">
        <x:v>https://geoweb.princeton.edu/archival/keller/Li_and_Keller_1998_Geol_525.pdf</x:v>
      </x:c>
    </x:row>
    <x:row r="23" ht="19.200000762939453" hidden="0" customHeight="1">
      <x:c r="A23" s="31" t="str">
        <x:v>temperature::DSDP528</x:v>
      </x:c>
      <x:c r="B23" s="31" t="str">
        <x:v>temperature</x:v>
      </x:c>
      <x:c r="C23" s="31" t="str">
        <x:v>DSDP528</x:v>
      </x:c>
      <x:c r="D23" s="35" t="n">
        <x:v>16</x:v>
      </x:c>
      <x:c r="E23" s="31" t="str">
        <x:v>Magnetostratigraphy/biostratigraphy without quantitative local bounds</x:v>
      </x:c>
      <x:c r="F23" s="31" t="str">
        <x:v>chronology::DSDP528</x:v>
      </x:c>
      <x:c r="G23" s="31" t="str">
        <x:v>Method identifiable but quantitative local controls remain unavailable</x:v>
      </x:c>
      <x:c r="H23" s="31" t="str">
        <x:v>Method literature requires record-specific reversal/event depths, dated-horizon errors, local sedimentation constraints or alternative correlations; these cannot be inferred from the retained age sequence.</x:v>
      </x:c>
      <x:c r="I23" s="31" t="str">
        <x:v>D'Hondt &amp; Lindinger (1994); PANGAEA 703721</x:v>
      </x:c>
      <x:c r="J23" s="31" t="str">
        <x:v>See record-specific chronology sources in the source audit</x:v>
      </x:c>
    </x:row>
    <x:row r="24" ht="19.200000762939453" hidden="0" customHeight="1">
      <x:c r="A24" s="30" t="str">
        <x:v>temperature::DSDP577</x:v>
      </x:c>
      <x:c r="B24" s="30" t="str">
        <x:v>temperature</x:v>
      </x:c>
      <x:c r="C24" s="30" t="str">
        <x:v>DSDP577</x:v>
      </x:c>
      <x:c r="D24" s="34" t="n">
        <x:v>9</x:v>
      </x:c>
      <x:c r="E24" s="30" t="str">
        <x:v>Magnetostratigraphy/biostratigraphy without quantitative local bounds</x:v>
      </x:c>
      <x:c r="F24" s="30" t="str">
        <x:v>chronology::DSDP577</x:v>
      </x:c>
      <x:c r="G24" s="30" t="str">
        <x:v>Method identifiable but quantitative local controls remain unavailable</x:v>
      </x:c>
      <x:c r="H24" s="30" t="str">
        <x:v>Method literature requires record-specific reversal/event depths, dated-horizon errors, local sedimentation constraints or alternative correlations; these cannot be inferred from the retained age sequence.</x:v>
      </x:c>
      <x:c r="I24" s="30" t="str">
        <x:v>Zachos et al. (1985); Hull et al. (2020) supplementary age-model review</x:v>
      </x:c>
      <x:c r="J24" s="30" t="str">
        <x:v>See record-specific chronology sources in the source audit</x:v>
      </x:c>
    </x:row>
    <x:row r="25" ht="15" hidden="0" customHeight="1">
      <x:c r="A25" s="31" t="str">
        <x:v>temperature::EI Kef</x:v>
      </x:c>
      <x:c r="B25" s="31" t="str">
        <x:v>temperature</x:v>
      </x:c>
      <x:c r="C25" s="31" t="str">
        <x:v>EI Kef</x:v>
      </x:c>
      <x:c r="D25" s="35" t="n">
        <x:v>40</x:v>
      </x:c>
      <x:c r="E25" s="31" t="str">
        <x:v>K–Pg boundary-anchored biostratigraphic/interpolated section</x:v>
      </x:c>
      <x:c r="F25" s="31" t="str">
        <x:v>chronology::EI_Kef</x:v>
      </x:c>
      <x:c r="G25" s="31" t="str">
        <x:v>Only common/shared systematic; no independent local timing bound</x:v>
      </x:c>
      <x:c r="H25" s="31" t="str">
        <x:v>The audited quantitative term is the common K–Pg absolute-age calibration; no transferable local interpolation/bioevent range was found.</x:v>
      </x:c>
      <x:c r="I25" s="31" t="str">
        <x:v>MacLeod et al. (2018) and cited foraminiferal event chronology</x:v>
      </x:c>
      <x:c r="J25" s="31" t="str">
        <x:v>https://doi.org/10.1126/science.1230492</x:v>
      </x:c>
    </x:row>
    <x:row r="26" ht="19.200000762939453" hidden="0" customHeight="1">
      <x:c r="A26" s="30" t="str">
        <x:v>temperature::Garfield County</x:v>
      </x:c>
      <x:c r="B26" s="30" t="str">
        <x:v>temperature</x:v>
      </x:c>
      <x:c r="C26" s="30" t="str">
        <x:v>Garfield County</x:v>
      </x:c>
      <x:c r="D26" s="34" t="n">
        <x:v>10</x:v>
      </x:c>
      <x:c r="E26" s="30" t="str">
        <x:v>Mixed terrestrial radiometric/magneto-/biostratigraphic chronology</x:v>
      </x:c>
      <x:c r="F26" s="30" t="str">
        <x:v>chronology::Garfield_County</x:v>
      </x:c>
      <x:c r="G26" s="30" t="str">
        <x:v>Method identifiable but quantitative local controls remain unavailable</x:v>
      </x:c>
      <x:c r="H26" s="30" t="str">
        <x:v>Method literature requires record-specific reversal/event depths, dated-horizon errors, local sedimentation constraints or alternative correlations; these cannot be inferred from the retained age sequence.</x:v>
      </x:c>
      <x:c r="I26" s="30" t="str">
        <x:v>Tobin et al. (2014) and cited Hell Creek/Fort Union chronology</x:v>
      </x:c>
      <x:c r="J26" s="30" t="str">
        <x:v>See record-specific chronology sources in the source audit</x:v>
      </x:c>
    </x:row>
    <x:row r="27" ht="15" hidden="0" customHeight="1">
      <x:c r="A27" s="31" t="str">
        <x:v>temperature::Haymana Basin</x:v>
      </x:c>
      <x:c r="B27" s="31" t="str">
        <x:v>temperature</x:v>
      </x:c>
      <x:c r="C27" s="31" t="str">
        <x:v>Haymana Basin</x:v>
      </x:c>
      <x:c r="D27" s="35" t="n">
        <x:v>46</x:v>
      </x:c>
      <x:c r="E27" s="31" t="str">
        <x:v>K–Pg boundary-anchored biostratigraphic/interpolated section</x:v>
      </x:c>
      <x:c r="F27" s="31" t="str">
        <x:v>chronology::Haymana_shared</x:v>
      </x:c>
      <x:c r="G27" s="31" t="str">
        <x:v>Only common/shared systematic; no independent local timing bound</x:v>
      </x:c>
      <x:c r="H27" s="31" t="str">
        <x:v>The audited quantitative term is the common K–Pg absolute-age calibration; no transferable local interpolation/bioevent range was found.</x:v>
      </x:c>
      <x:c r="I27" s="31" t="str">
        <x:v>Olsson et al. (2001); Esmeray-Senlet et al. (2015)</x:v>
      </x:c>
      <x:c r="J27" s="31" t="str">
        <x:v>https://doi.org/10.1126/science.1230492</x:v>
      </x:c>
    </x:row>
    <x:row r="28" ht="15" hidden="0" customHeight="1">
      <x:c r="A28" s="30" t="str">
        <x:v>temperature::Haymana Basin 2</x:v>
      </x:c>
      <x:c r="B28" s="30" t="str">
        <x:v>temperature</x:v>
      </x:c>
      <x:c r="C28" s="30" t="str">
        <x:v>Haymana Basin 2</x:v>
      </x:c>
      <x:c r="D28" s="34" t="n">
        <x:v>24</x:v>
      </x:c>
      <x:c r="E28" s="30" t="str">
        <x:v>K–Pg boundary-anchored biostratigraphic/interpolated section</x:v>
      </x:c>
      <x:c r="F28" s="30" t="str">
        <x:v>chronology::Haymana_shared</x:v>
      </x:c>
      <x:c r="G28" s="30" t="str">
        <x:v>Only common/shared systematic; no independent local timing bound</x:v>
      </x:c>
      <x:c r="H28" s="30" t="str">
        <x:v>The audited quantitative term is the common K–Pg absolute-age calibration; no transferable local interpolation/bioevent range was found.</x:v>
      </x:c>
      <x:c r="I28" s="30" t="str">
        <x:v>Olsson et al. (2001); Esmeray-Senlet et al. (2015)</x:v>
      </x:c>
      <x:c r="J28" s="30" t="str">
        <x:v>https://doi.org/10.1126/science.1230492</x:v>
      </x:c>
    </x:row>
    <x:row r="29" ht="15" hidden="0" customHeight="1">
      <x:c r="A29" s="31" t="str">
        <x:v>temperature::Meirs Farm</x:v>
      </x:c>
      <x:c r="B29" s="31" t="str">
        <x:v>temperature</x:v>
      </x:c>
      <x:c r="C29" s="31" t="str">
        <x:v>Meirs Farm</x:v>
      </x:c>
      <x:c r="D29" s="35" t="n">
        <x:v>44</x:v>
      </x:c>
      <x:c r="E29" s="31" t="str">
        <x:v>K–Pg boundary-anchored biostratigraphic/interpolated section</x:v>
      </x:c>
      <x:c r="F29" s="31" t="str">
        <x:v>chronology::Meirs_Farm</x:v>
      </x:c>
      <x:c r="G29" s="31" t="str">
        <x:v>Only common/shared systematic; no independent local timing bound</x:v>
      </x:c>
      <x:c r="H29" s="31" t="str">
        <x:v>The audited quantitative term is the common K–Pg absolute-age calibration; no transferable local interpolation/bioevent range was found.</x:v>
      </x:c>
      <x:c r="I29" s="31" t="str">
        <x:v>Vellekoop et al. (2016)</x:v>
      </x:c>
      <x:c r="J29" s="31" t="str">
        <x:v>https://doi.org/10.1126/science.1230492</x:v>
      </x:c>
    </x:row>
    <x:row r="30" ht="19.200000762939453" hidden="0" customHeight="1">
      <x:c r="A30" s="30" t="str">
        <x:v>temperature::ODP1049</x:v>
      </x:c>
      <x:c r="B30" s="30" t="str">
        <x:v>temperature</x:v>
      </x:c>
      <x:c r="C30" s="30" t="str">
        <x:v>ODP1049</x:v>
      </x:c>
      <x:c r="D30" s="34" t="n">
        <x:v>76</x:v>
      </x:c>
      <x:c r="E30" s="30" t="str">
        <x:v>Magnetostratigraphy/biostratigraphy without quantitative local bounds</x:v>
      </x:c>
      <x:c r="F30" s="30" t="str">
        <x:v>chronology::ODP1049</x:v>
      </x:c>
      <x:c r="G30" s="30" t="str">
        <x:v>Method identifiable but quantitative local controls remain unavailable</x:v>
      </x:c>
      <x:c r="H30" s="30" t="str">
        <x:v>Method literature requires record-specific reversal/event depths, dated-horizon errors, local sedimentation constraints or alternative correlations; these cannot be inferred from the retained age sequence.</x:v>
      </x:c>
      <x:c r="I30" s="30" t="str">
        <x:v>Quillévéré et al. (2008) and cited Blake Nose chronology</x:v>
      </x:c>
      <x:c r="J30" s="30" t="str">
        <x:v>See record-specific chronology sources in the source audit</x:v>
      </x:c>
    </x:row>
    <x:row r="31" ht="19.200000762939453" hidden="0" customHeight="1">
      <x:c r="A31" s="31" t="str">
        <x:v>temperature::Songliao Basin</x:v>
      </x:c>
      <x:c r="B31" s="31" t="str">
        <x:v>temperature</x:v>
      </x:c>
      <x:c r="C31" s="31" t="str">
        <x:v>Songliao Basin</x:v>
      </x:c>
      <x:c r="D31" s="35" t="n">
        <x:v>28</x:v>
      </x:c>
      <x:c r="E31" s="31" t="str">
        <x:v>Mixed terrestrial radiometric/magneto-/biostratigraphic chronology</x:v>
      </x:c>
      <x:c r="F31" s="31" t="str">
        <x:v>chronology::Songliao_Basin</x:v>
      </x:c>
      <x:c r="G31" s="31" t="str">
        <x:v>Method identifiable but quantitative local controls remain unavailable</x:v>
      </x:c>
      <x:c r="H31" s="31" t="str">
        <x:v>Method literature requires record-specific reversal/event depths, dated-horizon errors, local sedimentation constraints or alternative correlations; these cannot be inferred from the retained age sequence.</x:v>
      </x:c>
      <x:c r="I31" s="31" t="str">
        <x:v>Deng et al. (2013); He et al. (2012); Zhang et al. (2018)</x:v>
      </x:c>
      <x:c r="J31" s="31" t="str">
        <x:v>See record-specific chronology sources in the source audit</x:v>
      </x:c>
    </x:row>
    <x:row r="32" ht="15" hidden="0" customHeight="1">
      <x:c r="A32" s="30" t="str">
        <x:v>temperature::West Texas</x:v>
      </x:c>
      <x:c r="B32" s="30" t="str">
        <x:v>temperature</x:v>
      </x:c>
      <x:c r="C32" s="30" t="str">
        <x:v>West Texas</x:v>
      </x:c>
      <x:c r="D32" s="34" t="n">
        <x:v>22</x:v>
      </x:c>
      <x:c r="E32" s="30" t="str">
        <x:v>Segment/hiatus-related chronology</x:v>
      </x:c>
      <x:c r="F32" s="30" t="str">
        <x:v>chronology::West_Texas</x:v>
      </x:c>
      <x:c r="G32" s="30" t="str">
        <x:v>Hiatus/structural correction cannot be treated as a timing-error distribution</x:v>
      </x:c>
      <x:c r="H32" s="30" t="str">
        <x:v>A documented gap, hiatus or disconformity is not converted into a symmetric timing error or a whole-record shift.</x:v>
      </x:c>
      <x:c r="I32" s="30" t="str">
        <x:v>Dworkin et al. (2005); Leslie et al. (2018); Lehman et al. (2022)</x:v>
      </x:c>
      <x:c r="J32" s="30" t="str">
        <x:v>https://doi.org/10.1130/GES02519.1</x:v>
      </x:c>
    </x:row>
    <x:row r="33" ht="19.200000762939453" hidden="0" customHeight="1">
      <x:c r="A33" s="31" t="str">
        <x:v>temperature::Williston Basin</x:v>
      </x:c>
      <x:c r="B33" s="31" t="str">
        <x:v>temperature</x:v>
      </x:c>
      <x:c r="C33" s="31" t="str">
        <x:v>Williston Basin</x:v>
      </x:c>
      <x:c r="D33" s="35" t="n">
        <x:v>14</x:v>
      </x:c>
      <x:c r="E33" s="31" t="str">
        <x:v>Mixed terrestrial radiometric/magneto-/biostratigraphic chronology</x:v>
      </x:c>
      <x:c r="F33" s="31" t="str">
        <x:v>chronology::Williston_Basin</x:v>
      </x:c>
      <x:c r="G33" s="31" t="str">
        <x:v>Method identifiable but quantitative local controls remain unavailable</x:v>
      </x:c>
      <x:c r="H33" s="31" t="str">
        <x:v>Method literature requires record-specific reversal/event depths, dated-horizon errors, local sedimentation constraints or alternative correlations; these cannot be inferred from the retained age sequence.</x:v>
      </x:c>
      <x:c r="I33" s="31" t="str">
        <x:v>Wilf et al. (2003); Hicks et al. chronology cited therein; Hull et al. (2020)</x:v>
      </x:c>
      <x:c r="J33" s="31" t="str">
        <x:v>See record-specific chronology sources in the source audit</x:v>
      </x:c>
    </x:row>
    <x:row r="34" ht="19.200000762939453" hidden="0" customHeight="1">
      <x:c r="A34" s="30" t="str">
        <x:v>weathering::Bottaccione Section, Gubbio Os</x:v>
      </x:c>
      <x:c r="B34" s="30" t="str">
        <x:v>weathering</x:v>
      </x:c>
      <x:c r="C34" s="30" t="str">
        <x:v>Bottaccione Section, Gubbio Os</x:v>
      </x:c>
      <x:c r="D34" s="34" t="n">
        <x:v>34</x:v>
      </x:c>
      <x:c r="E34" s="30" t="str">
        <x:v>Magnetostratigraphy/biostratigraphy without quantitative local bounds</x:v>
      </x:c>
      <x:c r="F34" s="30" t="str">
        <x:v>chronology::Bottaccione_Section,_Gubbio_Os</x:v>
      </x:c>
      <x:c r="G34" s="30" t="str">
        <x:v>Method identifiable but quantitative local controls remain unavailable</x:v>
      </x:c>
      <x:c r="H34" s="30" t="str">
        <x:v>Method literature requires record-specific reversal/event depths, dated-horizon errors, local sedimentation constraints or alternative correlations; these cannot be inferred from the retained age sequence.</x:v>
      </x:c>
      <x:c r="I34" s="30" t="str">
        <x:v>Robinson et al. (2009) and cited Gubbio chronology</x:v>
      </x:c>
      <x:c r="J34" s="30" t="str">
        <x:v>See record-specific chronology sources in the source audit</x:v>
      </x:c>
    </x:row>
    <x:row r="35" ht="15" hidden="0" customHeight="1">
      <x:c r="A35" s="31" t="str">
        <x:v>weathering::ODP525A Os</x:v>
      </x:c>
      <x:c r="B35" s="31" t="str">
        <x:v>weathering</x:v>
      </x:c>
      <x:c r="C35" s="31" t="str">
        <x:v>ODP525A Os</x:v>
      </x:c>
      <x:c r="D35" s="35" t="n">
        <x:v>8</x:v>
      </x:c>
      <x:c r="E35" s="31" t="str">
        <x:v>Segment/hiatus-related chronology</x:v>
      </x:c>
      <x:c r="F35" s="31" t="str">
        <x:v>chronology::ODP525A_Os</x:v>
      </x:c>
      <x:c r="G35" s="31" t="str">
        <x:v>Hiatus/structural correction cannot be treated as a timing-error distribution</x:v>
      </x:c>
      <x:c r="H35" s="31" t="str">
        <x:v>A documented gap, hiatus or disconformity is not converted into a symmetric timing error or a whole-record shift.</x:v>
      </x:c>
      <x:c r="I35" s="31" t="str">
        <x:v>Robinson et al. (2009); Li &amp; Keller (1998)</x:v>
      </x:c>
      <x:c r="J35" s="31" t="str">
        <x:v>https://geoweb.princeton.edu/archival/keller/Li_and_Keller_1998_Geol_525.pdf</x:v>
      </x:c>
    </x:row>
    <x:row r="36" ht="19.200000762939453" hidden="0" customHeight="1">
      <x:c r="A36" s="32" t="str">
        <x:v>weathering::ODP577 Os</x:v>
      </x:c>
      <x:c r="B36" s="32" t="str">
        <x:v>weathering</x:v>
      </x:c>
      <x:c r="C36" s="32" t="str">
        <x:v>ODP577 Os</x:v>
      </x:c>
      <x:c r="D36" s="36" t="n">
        <x:v>13</x:v>
      </x:c>
      <x:c r="E36" s="32" t="str">
        <x:v>Magnetostratigraphy/biostratigraphy without quantitative local bounds</x:v>
      </x:c>
      <x:c r="F36" s="32" t="str">
        <x:v>chronology::ODP577_Os</x:v>
      </x:c>
      <x:c r="G36" s="32" t="str">
        <x:v>Method identifiable but quantitative local controls remain unavailable</x:v>
      </x:c>
      <x:c r="H36" s="32" t="str">
        <x:v>Method literature requires record-specific reversal/event depths, dated-horizon errors, local sedimentation constraints or alternative correlations; these cannot be inferred from the retained age sequence.</x:v>
      </x:c>
      <x:c r="I36" s="32" t="str">
        <x:v>Robinson et al. (2009); Zachos et al. (1985); Hull et al. (2020)</x:v>
      </x:c>
      <x:c r="J36" s="32" t="str">
        <x:v>See record-specific chronology sources in the source audit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3" hidden="0" customWidth="1"/>
    <x:col min="3" max="3" width="35" hidden="0" customWidth="1"/>
    <x:col min="4" max="4" width="47" hidden="0" customWidth="1"/>
    <x:col min="5" max="5" width="32" hidden="0" customWidth="1"/>
    <x:col min="6" max="6" width="42" hidden="0" customWidth="1"/>
    <x:col min="7" max="7" width="88" hidden="0" customWidth="1"/>
    <x:col min="8" max="8" width="32" hidden="0" customWidth="1"/>
    <x:col min="9" max="9" width="62" hidden="0" customWidth="1"/>
    <x:col min="10" max="10" width="74" hidden="0" customWidth="1"/>
  </x:cols>
  <x:sheetData>
    <x:row r="1" ht="30" customHeight="1">
      <x:c r="A1" s="3" t="str">
        <x:v>Chronology systematics excluded from record-specific Layer B coverage</x:v>
      </x:c>
    </x:row>
    <x:row r="2" ht="44" customHeight="1">
      <x:c r="A2" s="7" t="str">
        <x:v>These terms are non-exclusive and must not be summed as record counts. They require shared/global scenarios and are not treated as independent operational-record errors.</x:v>
      </x:c>
    </x:row>
    <x:row r="4" ht="48" customHeight="1">
      <x:c r="A4" s="16" t="str">
        <x:v>systematic_id</x:v>
      </x:c>
      <x:c r="B4" s="17" t="str">
        <x:v>systematic</x:v>
      </x:c>
      <x:c r="C4" s="17" t="str">
        <x:v>quantitative_term</x:v>
      </x:c>
      <x:c r="D4" s="17" t="str">
        <x:v>applies_to</x:v>
      </x:c>
      <x:c r="E4" s="17" t="str">
        <x:v>correlation_scope</x:v>
      </x:c>
      <x:c r="F4" s="17" t="str">
        <x:v>Layer_B_treatment</x:v>
      </x:c>
      <x:c r="G4" s="17" t="str">
        <x:v>future_sensitivity_rule</x:v>
      </x:c>
      <x:c r="H4" s="17" t="str">
        <x:v>source</x:v>
      </x:c>
      <x:c r="I4" s="17" t="str">
        <x:v>source_URL</x:v>
      </x:c>
      <x:c r="J4" s="18" t="str">
        <x:v>note</x:v>
      </x:c>
    </x:row>
    <x:row r="5" ht="15" hidden="0" customHeight="1">
      <x:c r="A5" s="29" t="str">
        <x:v>SYS-KPG-ABS</x:v>
      </x:c>
      <x:c r="B5" s="29" t="str">
        <x:v>Common absolute K–Pg timescale calibration</x:v>
      </x:c>
      <x:c r="C5" s="29" t="str">
        <x:v>±43 kyr in the audited provenance source</x:v>
      </x:c>
      <x:c r="D5" s="29" t="str">
        <x:v>Potentially all records mapped to the common absolute time scale</x:v>
      </x:c>
      <x:c r="E5" s="29" t="str">
        <x:v>Global/shared; non-additive</x:v>
      </x:c>
      <x:c r="F5" s="29" t="str">
        <x:v>Excluded from record-specific Layer B coverage</x:v>
      </x:c>
      <x:c r="G5" s="29" t="str">
        <x:v>If evaluated, shift the entire absolute-age coordinate system, K–Pg boundary, event ages, bin grid and phase windows together.</x:v>
      </x:c>
      <x:c r="H5" s="29" t="str">
        <x:v>Renne et al. (2013)</x:v>
      </x:c>
      <x:c r="I5" s="29" t="str">
        <x:v>https://doi.org/10.1126/science.1230492</x:v>
      </x:c>
      <x:c r="J5" s="29" t="str">
        <x:v>The study's adopted K–Pg boundary remains 66.016 Ma; this source term is not used to replace that central boundary age.</x:v>
      </x:c>
    </x:row>
    <x:row r="6" ht="19.200000762939453" hidden="0" customHeight="1">
      <x:c r="A6" s="30" t="str">
        <x:v>SYS-ASTRO-KPG</x:v>
      </x:c>
      <x:c r="B6" s="30" t="str">
        <x:v>Shared astronomical K–Pg placement / orbital target solution</x:v>
      </x:c>
      <x:c r="C6" s="30" t="str">
        <x:v>±4 kyr astronomical estimate in Dinarès-Turell et al. (2014); broader absolute calibration discussed separately</x:v>
      </x:c>
      <x:c r="D6" s="30" t="str">
        <x:v>Orbital/cyclostratigraphic groups</x:v>
      </x:c>
      <x:c r="E6" s="30" t="str">
        <x:v>Shared across records using the same tuning target</x:v>
      </x:c>
      <x:c r="F6" s="30" t="str">
        <x:v>Excluded from independent group shifts</x:v>
      </x:c>
      <x:c r="G6" s="30" t="str">
        <x:v>If evaluated, draw once for the shared astronomical framework and preserve cross-site dependence.</x:v>
      </x:c>
      <x:c r="H6" s="30" t="str">
        <x:v>Dinarès-Turell et al. (2014)</x:v>
      </x:c>
      <x:c r="I6" s="30" t="str">
        <x:v>https://doi.org/10.1016/j.epsl.2014.08.027</x:v>
      </x:c>
      <x:c r="J6" s="30" t="str">
        <x:v>Do not add this term independently to ODP1209/1210/1262/1267/U1403.</x:v>
      </x:c>
    </x:row>
    <x:row r="7" ht="15" hidden="0" customHeight="1">
      <x:c r="A7" s="37" t="str">
        <x:v>SYS-GPTS</x:v>
      </x:c>
      <x:c r="B7" s="37" t="str">
        <x:v>Common geomagnetic polarity-timescale calibration</x:v>
      </x:c>
      <x:c r="C7" s="37" t="str">
        <x:v>No single transferable range closed in the audit</x:v>
      </x:c>
      <x:c r="D7" s="37" t="str">
        <x:v>Magnetostratigraphic records</x:v>
      </x:c>
      <x:c r="E7" s="37" t="str">
        <x:v>Shared by records tied to the same GPTS</x:v>
      </x:c>
      <x:c r="F7" s="37" t="str">
        <x:v>Qualitative only; not counted as active coverage</x:v>
      </x:c>
      <x:c r="G7" s="37" t="str">
        <x:v>Requires a defined alternative GPTS or source-specific reversal-age covariance.</x:v>
      </x:c>
      <x:c r="H7" s="37" t="str">
        <x:v>Record-specific chronology papers and GPTS references</x:v>
      </x:c>
      <x:c r="I7" s="37" t="str">
        <x:v>See source audit</x:v>
      </x:c>
      <x:c r="J7" s="37" t="str">
        <x:v>Never redraw reversal ages independently by operational record.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9" hidden="0" customWidth="1"/>
    <x:col min="3" max="3" width="44" hidden="0" customWidth="1"/>
    <x:col min="4" max="4" width="75" hidden="0" customWidth="1"/>
    <x:col min="5" max="5" width="63" hidden="0" customWidth="1"/>
    <x:col min="6" max="6" width="75" hidden="0" customWidth="1"/>
  </x:cols>
  <x:sheetData>
    <x:row r="1" ht="30" customHeight="1">
      <x:c r="A1" s="3" t="str">
        <x:v>Chronology Layer B — source and audit evidence</x:v>
      </x:c>
    </x:row>
    <x:row r="2" ht="44" customHeight="1">
      <x:c r="A2" s="7" t="str">
        <x:v>Only literature and provenance already closed in the project audits are used. No error bars were digitized and no missing quantitative range was inferred from the retained ages.</x:v>
      </x:c>
    </x:row>
    <x:row r="4" ht="48" customHeight="1">
      <x:c r="A4" s="16" t="str">
        <x:v>evidence_id</x:v>
      </x:c>
      <x:c r="B4" s="17" t="str">
        <x:v>source</x:v>
      </x:c>
      <x:c r="C4" s="17" t="str">
        <x:v>applies_to</x:v>
      </x:c>
      <x:c r="D4" s="17" t="str">
        <x:v>evidence used</x:v>
      </x:c>
      <x:c r="E4" s="17" t="str">
        <x:v>decision role</x:v>
      </x:c>
      <x:c r="F4" s="18" t="str">
        <x:v>URL_or_local_path</x:v>
      </x:c>
    </x:row>
    <x:row r="5" ht="19.200000762939453" hidden="0" customHeight="1">
      <x:c r="A5" s="29" t="str">
        <x:v>E1</x:v>
      </x:c>
      <x:c r="B5" s="29" t="str">
        <x:v>Chronology method-based Layer 2 timing audit</x:v>
      </x:c>
      <x:c r="C5" s="29" t="str">
        <x:v>All 70 records</x:v>
      </x:c>
      <x:c r="D5" s="29" t="str">
        <x:v>Closed record-level chronology methods, sources, and reasons for excluding unsupported whole-record shifts.</x:v>
      </x:c>
      <x:c r="E5" s="29" t="str">
        <x:v>Read-only decision baseline</x:v>
      </x:c>
      <x:c r="F5" s="29" t="str">
        <x:v>/Users/xuegu/Documents/Codex/2026-08-17/k-pg-environmental-variability-ev-science-2/outputs/KPg_EV_SA_revision_working/03_results/EV_uncertainty_inventory/Chronology_Layer2_method_based_audit/Chronology_method_based_Layer2_timing_audit.xlsx</x:v>
      </x:c>
    </x:row>
    <x:row r="6" ht="19.200000762939453" hidden="0" customHeight="1">
      <x:c r="A6" s="30" t="str">
        <x:v>E2</x:v>
      </x:c>
      <x:c r="B6" s="30" t="str">
        <x:v>Shared-age-model grouping audit</x:v>
      </x:c>
      <x:c r="C6" s="30" t="str">
        <x:v>Primary 24 + ODP1210 expanded records</x:v>
      </x:c>
      <x:c r="D6" s="30" t="str">
        <x:v>Defines shared chronology groups and prevents proxy-level independent age draws.</x:v>
      </x:c>
      <x:c r="E6" s="30" t="str">
        <x:v>Read-only grouping baseline</x:v>
      </x:c>
      <x:c r="F6" s="30" t="str">
        <x:v>/Users/xuegu/Documents/Codex/2026-08-17/k-pg-environmental-variability-ev-science-2/outputs/KPg_EV_SA_revision_working/03_results/EV_uncertainty_inventory/Chronology_shared_age_model_grouping_audit/Chronology_shared_age_model_grouping_audit.xlsx</x:v>
      </x:c>
    </x:row>
    <x:row r="7" ht="19.200000762939453" hidden="0" customHeight="1">
      <x:c r="A7" s="31" t="str">
        <x:v>E3</x:v>
      </x:c>
      <x:c r="B7" s="31" t="str">
        <x:v>Method-based conservative uncertainty feasibility</x:v>
      </x:c>
      <x:c r="C7" s="31" t="str">
        <x:v>All chronology method classes</x:v>
      </x:c>
      <x:c r="D7" s="31" t="str">
        <x:v>One-cycle tuning ambiguity; no universal magnetobiochronology range; common K–Pg systematic separated.</x:v>
      </x:c>
      <x:c r="E7" s="31" t="str">
        <x:v>Method-level feasibility baseline</x:v>
      </x:c>
      <x:c r="F7" s="31" t="str">
        <x:v>/Users/xuegu/Documents/Codex/2026-08-17/k-pg-environmental-variability-ev-science-2/outputs/KPg_EV_SA_revision_working/03_results/EV_uncertainty_inventory/Method_based_conservative_uncertainty_feasibility.xlsx</x:v>
      </x:c>
    </x:row>
    <x:row r="8" ht="15" hidden="0" customHeight="1">
      <x:c r="A8" s="30" t="str">
        <x:v>E4</x:v>
      </x:c>
      <x:c r="B8" s="30" t="str">
        <x:v>Hull et al. (2020) Supplement</x:v>
      </x:c>
      <x:c r="C8" s="30" t="str">
        <x:v>ODP1209/1210 and U1403</x:v>
      </x:c>
      <x:c r="D8" s="30" t="str">
        <x:v>~87-kyr Shatsky–Walvis and ~37-kyr U1403 mismatch bounds.</x:v>
      </x:c>
      <x:c r="E8" s="30" t="str">
        <x:v>Primary and low-confidence same-framework bounds</x:v>
      </x:c>
      <x:c r="F8" s="30" t="str">
        <x:v>https://www.theqstorm.org/data/aay5055_hull_sm.pdf</x:v>
      </x:c>
    </x:row>
    <x:row r="9" ht="15" hidden="0" customHeight="1">
      <x:c r="A9" s="31" t="str">
        <x:v>E5</x:v>
      </x:c>
      <x:c r="B9" s="31" t="str">
        <x:v>Zeeden et al. (2015)</x:v>
      </x:c>
      <x:c r="C9" s="31" t="str">
        <x:v>ODP1262/1267 method-based Layer B</x:v>
      </x:c>
      <x:c r="D9" s="31" t="str">
        <x:v>Supports cycle-scale astronomical-tuning ambiguity; ±40 kyr retained as a bounded conservative method sensitivity.</x:v>
      </x:c>
      <x:c r="E9" s="31" t="str">
        <x:v>Method-level bound; not Gaussian σ</x:v>
      </x:c>
      <x:c r="F9" s="31" t="str">
        <x:v>https://doi.org/10.1002/2014PA002762</x:v>
      </x:c>
    </x:row>
    <x:row r="10" ht="15" hidden="0" customHeight="1">
      <x:c r="A10" s="30" t="str">
        <x:v>E6</x:v>
      </x:c>
      <x:c r="B10" s="30" t="str">
        <x:v>Dinarès-Turell et al. (2014)</x:v>
      </x:c>
      <x:c r="C10" s="30" t="str">
        <x:v>Orbital-tuned sites and shared systematic</x:v>
      </x:c>
      <x:c r="D10" s="30" t="str">
        <x:v>Site chronology framework and shared astronomical K–Pg placement.</x:v>
      </x:c>
      <x:c r="E10" s="30" t="str">
        <x:v>Separates local method sensitivity from common astronomical systematic</x:v>
      </x:c>
      <x:c r="F10" s="30" t="str">
        <x:v>https://doi.org/10.1016/j.epsl.2014.08.027</x:v>
      </x:c>
    </x:row>
    <x:row r="11" ht="15" hidden="0" customHeight="1">
      <x:c r="A11" s="31" t="str">
        <x:v>E7</x:v>
      </x:c>
      <x:c r="B11" s="31" t="str">
        <x:v>Petersen et al. (2016)</x:v>
      </x:c>
      <x:c r="C11" s="31" t="str">
        <x:v>Seymour Island</x:v>
      </x:c>
      <x:c r="D11" s="31" t="str">
        <x:v>Published control framework and inter-framework agreement underlying the ±40-kyr conservative site bound.</x:v>
      </x:c>
      <x:c r="E11" s="31" t="str">
        <x:v>Primary retained group</x:v>
      </x:c>
      <x:c r="F11" s="31" t="str">
        <x:v>https://doi.org/10.1038/ncomms12079</x:v>
      </x:c>
    </x:row>
    <x:row r="12" ht="15" hidden="0" customHeight="1">
      <x:c r="A12" s="30" t="str">
        <x:v>E8</x:v>
      </x:c>
      <x:c r="B12" s="30" t="str">
        <x:v>Stott &amp; Kennett (1990)</x:v>
      </x:c>
      <x:c r="C12" s="30" t="str">
        <x:v>ODP690</x:v>
      </x:c>
      <x:c r="D12" s="30" t="str">
        <x:v>Post-boundary ages may be too old by up to 200 kyr if truncation is not recognized.</x:v>
      </x:c>
      <x:c r="E12" s="30" t="str">
        <x:v>Asymmetric post-boundary segment sensitivity only</x:v>
      </x:c>
      <x:c r="F12" s="30" t="str">
        <x:v>https://www-odp.tamu.edu/publications/113_SR/VOLUME/CHAPTERS/sr113_48.pdf</x:v>
      </x:c>
    </x:row>
    <x:row r="13" ht="15" hidden="0" customHeight="1">
      <x:c r="A13" s="31" t="str">
        <x:v>E9</x:v>
      </x:c>
      <x:c r="B13" s="31" t="str">
        <x:v>Renne et al. (2013)</x:v>
      </x:c>
      <x:c r="C13" s="31" t="str">
        <x:v>Common absolute timescale</x:v>
      </x:c>
      <x:c r="D13" s="31" t="str">
        <x:v>±43-kyr systematic term in the audited provenance source.</x:v>
      </x:c>
      <x:c r="E13" s="31" t="str">
        <x:v>Tracked separately; excluded from record-specific coverage</x:v>
      </x:c>
      <x:c r="F13" s="31" t="str">
        <x:v>https://doi.org/10.1126/science.1230492</x:v>
      </x:c>
    </x:row>
    <x:row r="14" ht="38.400001525878906" hidden="0" customHeight="1">
      <x:c r="A14" s="32" t="str">
        <x:v>E10</x:v>
      </x:c>
      <x:c r="B14" s="32" t="str">
        <x:v>Record-specific structural chronology sources</x:v>
      </x:c>
      <x:c r="C14" s="32" t="str">
        <x:v>DSDP384, DSDP525, West Texas, Stevns-1</x:v>
      </x:c>
      <x:c r="D14" s="32" t="str">
        <x:v>Documented hiatus/gap/disconformity magnitudes.</x:v>
      </x:c>
      <x:c r="E14" s="32" t="str">
        <x:v>Rejects conversion of structural gaps to whole-record timing noise</x:v>
      </x:c>
      <x:c r="F14" s="32" t="str">
        <x:v>https://doi.org/10.1130/0091-7613(2000)28%3C1011:LMACSC%3E2.0.CO;2
https://geoweb.princeton.edu/archival/keller/Li_and_Keller_1998_Geol_525.pdf
https://doi.org/10.1130/GES02519.1
https://cp.copernicus.org/articles/12/429/2016/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82" hidden="0" customWidth="1"/>
    <x:col min="4" max="4" width="86" hidden="0" customWidth="1"/>
  </x:cols>
  <x:sheetData>
    <x:row r="1" ht="30" customHeight="1">
      <x:c r="A1" s="3" t="str">
        <x:v>Chronology Layer B — locked execution rules</x:v>
      </x:c>
    </x:row>
    <x:row r="2" ht="44" customHeight="1">
      <x:c r="A2" s="7" t="str">
        <x:v>These rules define the future conservative chronology sensitivity interface. The workbook itself performs no simulation and does not modify any scientific data or output.</x:v>
      </x:c>
    </x:row>
    <x:row r="4" ht="48" customHeight="1">
      <x:c r="A4" s="16" t="str">
        <x:v>rule_id</x:v>
      </x:c>
      <x:c r="B4" s="17" t="str">
        <x:v>rule</x:v>
      </x:c>
      <x:c r="C4" s="17" t="str">
        <x:v>execution requirement</x:v>
      </x:c>
      <x:c r="D4" s="18" t="str">
        <x:v>scientific rationale</x:v>
      </x:c>
    </x:row>
    <x:row r="5" ht="15" hidden="0" customHeight="1">
      <x:c r="A5" s="29" t="str">
        <x:v>R1</x:v>
      </x:c>
      <x:c r="B5" s="29" t="str">
        <x:v>One chronology realization per perturbation group</x:v>
      </x:c>
      <x:c r="C5" s="29" t="str">
        <x:v>All member operational records reuse one identical group shift.</x:v>
      </x:c>
      <x:c r="D5" s="29" t="str">
        <x:v>Proxy records sharing one chronology are not independent age models.</x:v>
      </x:c>
    </x:row>
    <x:row r="6" ht="15" hidden="0" customHeight="1">
      <x:c r="A6" s="30" t="str">
        <x:v>R2</x:v>
      </x:c>
      <x:c r="B6" s="30" t="str">
        <x:v>Bounded sensitivities remain bounded</x:v>
      </x:c>
      <x:c r="C6" s="30" t="str">
        <x:v>Use listed uniform bounds; do not convert mismatches, cycle ambiguities, or upper bounds into Gaussian σ.</x:v>
      </x:c>
      <x:c r="D6" s="30" t="str">
        <x:v>The evidence does not define probability distributions.</x:v>
      </x:c>
    </x:row>
    <x:row r="7" ht="15" hidden="0" customHeight="1">
      <x:c r="A7" s="31" t="str">
        <x:v>R3</x:v>
      </x:c>
      <x:c r="B7" s="31" t="str">
        <x:v>ODP1210 shares Shatsky shift</x:v>
      </x:c>
      <x:c r="C7" s="31" t="str">
        <x:v>ODP1210 reuses the ODP1209 group draw.</x:v>
      </x:c>
      <x:c r="D7" s="31" t="str">
        <x:v>Avoids creating a false independent chronology group within the shared framework.</x:v>
      </x:c>
    </x:row>
    <x:row r="8" ht="15" hidden="0" customHeight="1">
      <x:c r="A8" s="30" t="str">
        <x:v>R4</x:v>
      </x:c>
      <x:c r="B8" s="30" t="str">
        <x:v>ODP690 is segment-specific</x:v>
      </x:c>
      <x:c r="C8" s="30" t="str">
        <x:v>Apply Uniform(-200,0 kyr) only to post-K–Pg ages; pre-K–Pg ages remain unchanged.</x:v>
      </x:c>
      <x:c r="D8" s="30" t="str">
        <x:v>The source describes an asymmetric post-boundary age overestimate, not a whole-record error.</x:v>
      </x:c>
    </x:row>
    <x:row r="9" ht="15" hidden="0" customHeight="1">
      <x:c r="A9" s="31" t="str">
        <x:v>R5</x:v>
      </x:c>
      <x:c r="B9" s="31" t="str">
        <x:v>Preserve stratigraphic order</x:v>
      </x:c>
      <x:c r="C9" s="31" t="str">
        <x:v>All perturbations are correlated shifts and must retain observation ordering and within-segment spacing.</x:v>
      </x:c>
      <x:c r="D9" s="31" t="str">
        <x:v>Independent sample jitter is geologically indefensible.</x:v>
      </x:c>
    </x:row>
    <x:row r="10" ht="15" hidden="0" customHeight="1">
      <x:c r="A10" s="30" t="str">
        <x:v>R6</x:v>
      </x:c>
      <x:c r="B10" s="30" t="str">
        <x:v>Separate common systematics</x:v>
      </x:c>
      <x:c r="C10" s="30" t="str">
        <x:v>Do not count K–Pg/GPTS/astronomical common systematics as record-specific coverage or draw them independently.</x:v>
      </x:c>
      <x:c r="D10" s="30" t="str">
        <x:v>Common time-scale terms are shared across sites and require separate scenarios.</x:v>
      </x:c>
    </x:row>
    <x:row r="11" ht="15" hidden="0" customHeight="1">
      <x:c r="A11" s="31" t="str">
        <x:v>R7</x:v>
      </x:c>
      <x:c r="B11" s="31" t="str">
        <x:v>Do not randomize hiatus magnitude</x:v>
      </x:c>
      <x:c r="C11" s="31" t="str">
        <x:v>Records with gaps/hiatuses remain fixed until explicit alternative age-depth models are available.</x:v>
      </x:c>
      <x:c r="D11" s="31" t="str">
        <x:v>Missing time is a structural model issue, not random timing noise.</x:v>
      </x:c>
    </x:row>
    <x:row r="12" ht="15" hidden="0" customHeight="1">
      <x:c r="A12" s="32" t="str">
        <x:v>R8</x:v>
      </x:c>
      <x:c r="B12" s="32" t="str">
        <x:v>No simulation in this workbook</x:v>
      </x:c>
      <x:c r="C12" s="32" t="str">
        <x:v>This parameter table does not perturb ages, re-bin data, recalculate IQR/EV, or modify any scientific output.</x:v>
      </x:c>
      <x:c r="D12" s="32" t="str">
        <x:v>Separates design approval from execution.</x:v>
      </x:c>
    </x:row>
  </x:sheetData>
  <x:mergeCells>
    <x:mergeCell ref="A1:D1"/>
    <x:mergeCell ref="A2:D2"/>
  </x:mergeCells>
  <x:pageMargins left="0.7" right="0.7" top="0.75" bottom="0.75" header="0.3" footer="0.3"/>
</x:worksheet>
</file>