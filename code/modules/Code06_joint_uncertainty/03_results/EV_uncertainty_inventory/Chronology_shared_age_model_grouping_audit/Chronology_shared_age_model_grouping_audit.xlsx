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5abd996c7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29c6e3aa0e4f42"/>
    <x:sheet xmlns:r="http://schemas.openxmlformats.org/officeDocument/2006/relationships" name="Primary groups" sheetId="2" r:id="Rda2c47129e5f47e9"/>
    <x:sheet xmlns:r="http://schemas.openxmlformats.org/officeDocument/2006/relationships" name="Primary record membership" sheetId="3" r:id="R89f2135ec61a477d"/>
    <x:sheet xmlns:r="http://schemas.openxmlformats.org/officeDocument/2006/relationships" name="Expanded sensitivity" sheetId="4" r:id="R86c33bdfbd2a4240"/>
    <x:sheet xmlns:r="http://schemas.openxmlformats.org/officeDocument/2006/relationships" name="Excluded classes" sheetId="5" r:id="R438311a68edf4069"/>
    <x:sheet xmlns:r="http://schemas.openxmlformats.org/officeDocument/2006/relationships" name="Execution rules" sheetId="6" r:id="Rce0307027cf1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Arial"/>
    </x:font>
    <x:font>
      <x:sz val="9"/>
      <x:color rgb="FF385723"/>
      <x:name val="Arial"/>
    </x:font>
    <x:font>
      <x:b/>
      <x:sz val="8"/>
      <x:color rgb="FFFFFFFF"/>
      <x:name val="Arial"/>
    </x:font>
    <x:font>
      <x:sz val="8"/>
      <x:name val="Arial"/>
    </x:font>
    <x:font>
      <x:b/>
      <x:sz val="9"/>
      <x:color rgb="FFFFFFFF"/>
      <x:name val="Arial"/>
    </x:font>
    <x:font>
      <x:sz val="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7FBFF"/>
      </x:patternFill>
    </x:fill>
  </x:fills>
  <x:borders count="7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6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6" borderId="6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200" fontId="4" fillId="5" borderId="6" xfId="0" applyNumberFormat="1" applyFont="1" applyFill="1" applyBorder="1" applyAlignment="1">
      <x:alignment vertical="top" wrapText="1"/>
    </x:xf>
    <x:xf numFmtId="201" fontId="4" fillId="5" borderId="4" xfId="0" applyNumberFormat="1" applyFont="1" applyFill="1" applyBorder="1" applyAlignment="1">
      <x:alignment vertical="top" wrapText="1"/>
    </x:xf>
    <x:xf numFmtId="201" fontId="4" fillId="6" borderId="5" xfId="0" applyNumberFormat="1" applyFont="1" applyFill="1" applyBorder="1" applyAlignment="1">
      <x:alignment vertical="top" wrapText="1"/>
    </x:xf>
    <x:xf numFmtId="201" fontId="4" fillId="5" borderId="6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200" fontId="6" fillId="5" borderId="4" xfId="0" applyNumberFormat="1" applyFont="1" applyFill="1" applyBorder="1" applyAlignment="1">
      <x:alignment vertical="top" wrapText="1"/>
    </x:xf>
    <x:xf numFmtId="200" fontId="6" fillId="6" borderId="5" xfId="0" applyNumberFormat="1" applyFont="1" applyFill="1" applyBorder="1" applyAlignment="1">
      <x:alignment vertical="top" wrapText="1"/>
    </x:xf>
    <x:xf numFmtId="200" fontId="6" fillId="5" borderId="5" xfId="0" applyNumberFormat="1" applyFont="1" applyFill="1" applyBorder="1" applyAlignment="1">
      <x:alignment vertical="top" wrapText="1"/>
    </x:xf>
    <x:xf numFmtId="201" fontId="6" fillId="6" borderId="5" xfId="0" applyNumberFormat="1" applyFont="1" applyFill="1" applyBorder="1" applyAlignment="1">
      <x:alignment vertical="top" wrapText="1"/>
    </x:xf>
    <x:xf numFmtId="200" fontId="6" fillId="5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96f144e184ffa" /><Relationship Type="http://schemas.openxmlformats.org/officeDocument/2006/relationships/theme" Target="/xl/theme/theme1.xml" Id="Rcc2d8961a64840f2" /><Relationship Type="http://schemas.openxmlformats.org/officeDocument/2006/relationships/sharedStrings" Target="/xl/sharedStrings.xml" Id="R3ce530b45c2b4477" /><Relationship Type="http://schemas.openxmlformats.org/officeDocument/2006/relationships/worksheet" Target="/xl/worksheets/sheet1.xml" Id="R2829c6e3aa0e4f42" /><Relationship Type="http://schemas.openxmlformats.org/officeDocument/2006/relationships/worksheet" Target="/xl/worksheets/sheet2.xml" Id="Rda2c47129e5f47e9" /><Relationship Type="http://schemas.openxmlformats.org/officeDocument/2006/relationships/worksheet" Target="/xl/worksheets/sheet3.xml" Id="R89f2135ec61a477d" /><Relationship Type="http://schemas.openxmlformats.org/officeDocument/2006/relationships/worksheet" Target="/xl/worksheets/sheet4.xml" Id="R86c33bdfbd2a4240" /><Relationship Type="http://schemas.openxmlformats.org/officeDocument/2006/relationships/worksheet" Target="/xl/worksheets/sheet5.xml" Id="R438311a68edf4069" /><Relationship Type="http://schemas.openxmlformats.org/officeDocument/2006/relationships/worksheet" Target="/xl/worksheets/sheet6.xml" Id="Rce0307027cf14c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7" hidden="0" customWidth="1"/>
    <x:col min="3" max="3" width="19" hidden="0" customWidth="1"/>
    <x:col min="4" max="4" width="31" hidden="0" customWidth="1"/>
    <x:col min="5" max="5" width="20" hidden="0" customWidth="1"/>
    <x:col min="6" max="6" width="74" hidden="0" customWidth="1"/>
  </x:cols>
  <x:sheetData>
    <x:row r="1" ht="30" customHeight="1">
      <x:c r="A1" s="3" t="str">
        <x:v>Shared-age-model grouping audit — primary chronology sensitivity</x:v>
      </x:c>
    </x:row>
    <x:row r="2" ht="42" customHeight="1">
      <x:c r="A2" s="7" t="str">
        <x:v>The 24 direct-evidence operational records are grouped by actual shared age-depth model. ODP 1210 is expanded-only; all other chronology classes remain excluded from the primary record-specific shift scenario.</x:v>
      </x:c>
    </x:row>
    <x:row r="4">
      <x:c r="A4" s="44" t="str">
        <x:v>Metric</x:v>
      </x:c>
      <x:c r="B4" s="44" t="str">
        <x:v>Value</x:v>
      </x:c>
      <x:c r="C4" s="44" t="str">
        <x:v>Unit</x:v>
      </x:c>
      <x:c r="D4" s="44" t="str">
        <x:v>Source/check</x:v>
      </x:c>
      <x:c r="E4" s="44" t="str">
        <x:v>Status</x:v>
      </x:c>
      <x:c r="F4" s="44" t="str">
        <x:v>Interpretation</x:v>
      </x:c>
    </x:row>
    <x:row r="5" ht="15" hidden="0" customHeight="1">
      <x:c r="A5" s="55" t="str">
        <x:v>Primary operational records</x:v>
      </x:c>
      <x:c r="B5" s="59" t="n">
        <x:f>COUNTA('Primary record membership'!$B$5:$B$28)</x:f>
        <x:v>24</x:v>
      </x:c>
      <x:c r="C5" s="55" t="str">
        <x:v>records</x:v>
      </x:c>
      <x:c r="D5" s="55" t="str">
        <x:v>Primary record membership</x:v>
      </x:c>
      <x:c r="E5" s="55" t="str">
        <x:v>Primary</x:v>
      </x:c>
      <x:c r="F5" s="55" t="str">
        <x:v>Only records with direct method-based timing-range evidence.</x:v>
      </x:c>
    </x:row>
    <x:row r="6" ht="15" hidden="0" customHeight="1">
      <x:c r="A6" s="56" t="str">
        <x:v>Independent primary chronology groups</x:v>
      </x:c>
      <x:c r="B6" s="60" t="n">
        <x:f>COUNTA('Primary groups'!$A$5:$A$7)</x:f>
        <x:v>3</x:v>
      </x:c>
      <x:c r="C6" s="56" t="str">
        <x:v>groups</x:v>
      </x:c>
      <x:c r="D6" s="56" t="str">
        <x:v>Primary groups</x:v>
      </x:c>
      <x:c r="E6" s="56" t="str">
        <x:v>Primary</x:v>
      </x:c>
      <x:c r="F6" s="56" t="str">
        <x:v>ODP 1209, IODP U1403 and Seymour Island.</x:v>
      </x:c>
    </x:row>
    <x:row r="7" ht="15" hidden="0" customHeight="1">
      <x:c r="A7" s="57" t="str">
        <x:v>Primary measurements covered</x:v>
      </x:c>
      <x:c r="B7" s="61" t="n">
        <x:f>SUM('Primary groups'!$I$5:$I$7)</x:f>
        <x:v>4230</x:v>
      </x:c>
      <x:c r="C7" s="57" t="str">
        <x:v>measurements</x:v>
      </x:c>
      <x:c r="D7" s="57" t="str">
        <x:v>Primary groups</x:v>
      </x:c>
      <x:c r="E7" s="57" t="str">
        <x:v>Primary</x:v>
      </x:c>
      <x:c r="F7" s="57" t="str">
        <x:v>Shared-age-model grouping prevents proxy-level double counting.</x:v>
      </x:c>
    </x:row>
    <x:row r="8" ht="15" hidden="0" customHeight="1">
      <x:c r="A8" s="56" t="str">
        <x:v>Primary measurement coverage</x:v>
      </x:c>
      <x:c r="B8" s="62" t="n">
        <x:f>B7/10881</x:f>
        <x:v>0.38875103391232424</x:v>
      </x:c>
      <x:c r="C8" s="56" t="str">
        <x:v>fraction of 10,881</x:v>
      </x:c>
      <x:c r="D8" s="56" t="str">
        <x:v>Primary groups / retained total</x:v>
      </x:c>
      <x:c r="E8" s="56" t="str">
        <x:v>Primary</x:v>
      </x:c>
      <x:c r="F8" s="56" t="str">
        <x:v>Primary scenario coverage; no claim of total chronology uncertainty.</x:v>
      </x:c>
    </x:row>
    <x:row r="9" ht="15" hidden="0" customHeight="1">
      <x:c r="A9" s="57" t="str">
        <x:v>ODP 1210 expanded-only records</x:v>
      </x:c>
      <x:c r="B9" s="61" t="n">
        <x:f>COUNTA('Expanded sensitivity'!$B$5:$B$6)</x:f>
        <x:v>2</x:v>
      </x:c>
      <x:c r="C9" s="57" t="str">
        <x:v>records</x:v>
      </x:c>
      <x:c r="D9" s="57" t="str">
        <x:v>Expanded sensitivity</x:v>
      </x:c>
      <x:c r="E9" s="57" t="str">
        <x:v>Expanded only</x:v>
      </x:c>
      <x:c r="F9" s="57" t="str">
        <x:v>Not part of the primary 24-record scenario.</x:v>
      </x:c>
    </x:row>
    <x:row r="10" ht="15" hidden="0" customHeight="1">
      <x:c r="A10" s="56" t="str">
        <x:v>Common/shared-systematic records excluded</x:v>
      </x:c>
      <x:c r="B10" s="60" t="n">
        <x:f>'Excluded classes'!B5</x:f>
        <x:v>19</x:v>
      </x:c>
      <x:c r="C10" s="56" t="str">
        <x:v>records</x:v>
      </x:c>
      <x:c r="D10" s="56" t="str">
        <x:v>Excluded classes</x:v>
      </x:c>
      <x:c r="E10" s="56" t="str">
        <x:v>Excluded</x:v>
      </x:c>
      <x:c r="F10" s="56" t="str">
        <x:v>Not independently randomized; common terms require a separate scenario.</x:v>
      </x:c>
    </x:row>
    <x:row r="11" ht="15" hidden="0" customHeight="1">
      <x:c r="A11" s="57" t="str">
        <x:v>Segment/hiatus-related records excluded</x:v>
      </x:c>
      <x:c r="B11" s="61" t="n">
        <x:f>'Excluded classes'!B6</x:f>
        <x:v>9</x:v>
      </x:c>
      <x:c r="C11" s="57" t="str">
        <x:v>records</x:v>
      </x:c>
      <x:c r="D11" s="57" t="str">
        <x:v>Excluded classes</x:v>
      </x:c>
      <x:c r="E11" s="57" t="str">
        <x:v>Excluded</x:v>
      </x:c>
      <x:c r="F11" s="57" t="str">
        <x:v>Whole-record shift would misrepresent hiatus/segment-specific chronology problems.</x:v>
      </x:c>
    </x:row>
    <x:row r="12" ht="15" hidden="0" customHeight="1">
      <x:c r="A12" s="56" t="str">
        <x:v>No-quantitative-range records excluded</x:v>
      </x:c>
      <x:c r="B12" s="60" t="n">
        <x:f>'Excluded classes'!B7</x:f>
        <x:v>16</x:v>
      </x:c>
      <x:c r="C12" s="56" t="str">
        <x:v>records</x:v>
      </x:c>
      <x:c r="D12" s="56" t="str">
        <x:v>Excluded classes</x:v>
      </x:c>
      <x:c r="E12" s="56" t="str">
        <x:v>Excluded</x:v>
      </x:c>
      <x:c r="F12" s="56" t="str">
        <x:v>No quantitative range is imputed.</x:v>
      </x:c>
    </x:row>
    <x:row r="13" ht="15" hidden="0" customHeight="1">
      <x:c r="A13" s="58" t="str">
        <x:v>Total operational records reconciled</x:v>
      </x:c>
      <x:c r="B13" s="63" t="n">
        <x:f>B5+B9+B10+B11+B12</x:f>
        <x:v>70</x:v>
      </x:c>
      <x:c r="C13" s="58" t="str">
        <x:v>records</x:v>
      </x:c>
      <x:c r="D13" s="58" t="str">
        <x:v>Cross-sheet reconciliation</x:v>
      </x:c>
      <x:c r="E13" s="58" t="str">
        <x:v>PASS</x:v>
      </x:c>
      <x:c r="F13" s="58" t="str">
        <x:v>24 + 2 + 19 + 9 + 16 = 70.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72" hidden="0" customWidth="1"/>
    <x:col min="4" max="4" width="23" hidden="0" customWidth="1"/>
    <x:col min="5" max="5" width="76" hidden="0" customWidth="1"/>
    <x:col min="6" max="6" width="45" hidden="0" customWidth="1"/>
    <x:col min="7" max="7" width="84" hidden="0" customWidth="1"/>
    <x:col min="8" max="8" width="23" hidden="0" customWidth="1"/>
    <x:col min="9" max="9" width="20" hidden="0" customWidth="1"/>
    <x:col min="10" max="10" width="24" hidden="0" customWidth="1"/>
    <x:col min="11" max="11" width="67" hidden="0" customWidth="1"/>
  </x:cols>
  <x:sheetData>
    <x:row r="1" ht="30" customHeight="1">
      <x:c r="A1" s="3" t="str">
        <x:v>Primary shared-age-model perturbation groups</x:v>
      </x:c>
    </x:row>
    <x:row r="2" ht="42" customHeight="1">
      <x:c r="A2" s="7" t="str">
        <x:v>The 24 direct-evidence records collapse to three independent chronology perturbation groups. Published mismatches/conservative bounds are treated as bounded uniform sensitivities, not Gaussian σ.</x:v>
      </x:c>
    </x:row>
    <x:row r="4" ht="45" customHeight="1">
      <x:c r="A4" s="16" t="str">
        <x:v>chronology_group_id</x:v>
      </x:c>
      <x:c r="B4" s="17" t="str">
        <x:v>site</x:v>
      </x:c>
      <x:c r="C4" s="17" t="str">
        <x:v>chronology_source_model</x:v>
      </x:c>
      <x:c r="D4" s="17" t="str">
        <x:v>conservative_timing_bound</x:v>
      </x:c>
      <x:c r="E4" s="17" t="str">
        <x:v>bound_basis</x:v>
      </x:c>
      <x:c r="F4" s="17" t="str">
        <x:v>uncertainty_definition</x:v>
      </x:c>
      <x:c r="G4" s="17" t="str">
        <x:v>recommended_perturbation_rule</x:v>
      </x:c>
      <x:c r="H4" s="17" t="str">
        <x:v>operational_record_count</x:v>
      </x:c>
      <x:c r="I4" s="17" t="str">
        <x:v>measurement_count</x:v>
      </x:c>
      <x:c r="J4" s="17" t="str">
        <x:v>measurement_coverage</x:v>
      </x:c>
      <x:c r="K4" s="18" t="str">
        <x:v>source_URL</x:v>
      </x:c>
    </x:row>
    <x:row r="5" ht="19.200000762939453" hidden="0" customHeight="1">
      <x:c r="A5" s="29" t="str">
        <x:v>CHR-P1-ODP1209</x:v>
      </x:c>
      <x:c r="B5" s="29" t="str">
        <x:v>ODP Site 1209, Shatsky Rise</x:v>
      </x:c>
      <x:c r="C5" s="29" t="str">
        <x:v>Shared Site 1209 cyclostratigraphic/astronomical age-depth framework: Dinarès-Turell et al. (2014), Westerhold et al. (2011), latest Maastrichtian extension in Woelders et al. (2017), as applied by Hull et al. (2020)</x:v>
      </x:c>
      <x:c r="D5" s="29" t="str">
        <x:v>±87 kyr</x:v>
      </x:c>
      <x:c r="E5" s="29" t="str">
        <x:v>Published ~87-kyr Shatsky–Walvis mismatch in the upper-Cretaceous δ18O minimum; conservative site-level bound. Hull et al. caution that the mismatch is mainly driven by one anomalously low Shatsky observation.</x:v>
      </x:c>
      <x:c r="F5" s="29" t="str">
        <x:v>Published mismatch / conservative bound; no probability definition</x:v>
      </x:c>
      <x:c r="G5" s="29" t="str">
        <x:v>For each realization draw one Δ1209. Apply Age* = Age + Δ1209/1000 to every retained observation in all 16 member records. Preserve within-record spacing and all cross-proxy/site chronology relationships; never draw record-specific shifts.</x:v>
      </x:c>
      <x:c r="H5" s="33" t="n">
        <x:f>COUNTIF('Primary record membership'!$A$5:$A$28,A5)</x:f>
        <x:v>16</x:v>
      </x:c>
      <x:c r="I5" s="33" t="n">
        <x:f>SUMIF('Primary record membership'!$A$5:$A$28,A5,'Primary record membership'!$F$5:$F$28)</x:f>
        <x:v>2848</x:v>
      </x:c>
      <x:c r="J5" s="39" t="n">
        <x:f>I5/10881</x:f>
        <x:v>0.26174064883742304</x:v>
      </x:c>
      <x:c r="K5" s="29" t="str">
        <x:v>https://www.theqstorm.org/data/aay5055_hull_sm.pdf</x:v>
      </x:c>
    </x:row>
    <x:row r="6" ht="19.200000762939453" hidden="0" customHeight="1">
      <x:c r="A6" s="30" t="str">
        <x:v>CHR-P2-U1403</x:v>
      </x:c>
      <x:c r="B6" s="30" t="str">
        <x:v>IODP Site U1403, J-Anomaly Ridge</x:v>
      </x:c>
      <x:c r="C6" s="30" t="str">
        <x:v>Shared U1403 age-depth framework: Maastrichtian cyclostratigraphy of Batenburg et al. (2018) joined to the Danian 405-kyr tuning correlated to Site 1209 in Hull et al. (2020)</x:v>
      </x:c>
      <x:c r="D6" s="30" t="str">
        <x:v>±37 kyr</x:v>
      </x:c>
      <x:c r="E6" s="30" t="str">
        <x:v>Published ~37-kyr Walvis–U1403 mismatch in the timing of the bulk δ18O minimum; used as a conservative site-level timing bound rather than a formal confidence interval.</x:v>
      </x:c>
      <x:c r="F6" s="30" t="str">
        <x:v>Published mismatch / conservative bound; no probability definition</x:v>
      </x:c>
      <x:c r="G6" s="30" t="str">
        <x:v>For each realization draw one ΔU1403. Apply the identical shift to the δ13C, δ18O and Os records. Preserve internal age spacing and the shared age-depth model; do not perturb proxies independently.</x:v>
      </x:c>
      <x:c r="H6" s="34" t="n">
        <x:f>COUNTIF('Primary record membership'!$A$5:$A$28,A6)</x:f>
        <x:v>3</x:v>
      </x:c>
      <x:c r="I6" s="34" t="n">
        <x:f>SUMIF('Primary record membership'!$A$5:$A$28,A6,'Primary record membership'!$F$5:$F$28)</x:f>
        <x:v>1249</x:v>
      </x:c>
      <x:c r="J6" s="40" t="n">
        <x:f>I6/10881</x:f>
        <x:v>0.11478724381950188</x:v>
      </x:c>
      <x:c r="K6" s="30" t="str">
        <x:v>https://www.theqstorm.org/data/aay5055_hull_sm.pdf</x:v>
      </x:c>
    </x:row>
    <x:row r="7" ht="19.200000762939453" hidden="0" customHeight="1">
      <x:c r="A7" s="37" t="str">
        <x:v>CHR-P3-SEYMOUR</x:v>
      </x:c>
      <x:c r="B7" s="37" t="str">
        <x:v>Seymour Island, Antarctica</x:v>
      </x:c>
      <x:c r="C7" s="37" t="str">
        <x:v>One shared magnetostratigraphic + K–Pg control-point age model with piecewise-linear interpolation from Petersen et al. (2016), used by the temperature, Sr and Ca records</x:v>
      </x:c>
      <x:c r="D7" s="37" t="str">
        <x:v>±40 kyr</x:v>
      </x:c>
      <x:c r="E7" s="37" t="str">
        <x:v>Conservative conversion of the published ~4-m inter-framework agreement using the published local age-height slopes; maximum derived value 39.5 kyr, rounded to 40 kyr. This is not an author-reported age CI.</x:v>
      </x:c>
      <x:c r="F7" s="37" t="str">
        <x:v>Record-specific conservative derivation; no probability definition</x:v>
      </x:c>
      <x:c r="G7" s="37" t="str">
        <x:v>For each realization draw one ΔSeymour. Apply the same shift to all five temperature/weathering records. Preserve the shared stratigraphic order and all within-record age differences; do not draw separate proxy shifts.</x:v>
      </x:c>
      <x:c r="H7" s="38" t="n">
        <x:f>COUNTIF('Primary record membership'!$A$5:$A$28,A7)</x:f>
        <x:v>5</x:v>
      </x:c>
      <x:c r="I7" s="38" t="n">
        <x:f>SUMIF('Primary record membership'!$A$5:$A$28,A7,'Primary record membership'!$F$5:$F$28)</x:f>
        <x:v>133</x:v>
      </x:c>
      <x:c r="J7" s="41" t="n">
        <x:f>I7/10881</x:f>
        <x:v>0.01222314125539932</x:v>
      </x:c>
      <x:c r="K7" s="37" t="str">
        <x:v>https://doi.org/10.1038/ncomms12079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32" hidden="0" customWidth="1"/>
    <x:col min="4" max="4" width="14" hidden="0" customWidth="1"/>
    <x:col min="5" max="5" width="34" hidden="0" customWidth="1"/>
    <x:col min="6" max="6" width="16" hidden="0" customWidth="1"/>
    <x:col min="7" max="7" width="15" hidden="0" customWidth="1"/>
    <x:col min="8" max="8" width="15" hidden="0" customWidth="1"/>
    <x:col min="9" max="9" width="34" hidden="0" customWidth="1"/>
    <x:col min="10" max="10" width="18" hidden="0" customWidth="1"/>
    <x:col min="11" max="11" width="46" hidden="0" customWidth="1"/>
  </x:cols>
  <x:sheetData>
    <x:row r="1" ht="30" customHeight="1">
      <x:c r="A1" s="3" t="str">
        <x:v>Primary record membership — shared chronology groups</x:v>
      </x:c>
    </x:row>
    <x:row r="2" ht="42" customHeight="1">
      <x:c r="A2" s="7" t="str">
        <x:v>Twenty-four operational records with direct timing-range evidence. Records sharing one age-depth model must receive one common shift per realization.</x:v>
      </x:c>
    </x:row>
    <x:row r="4" ht="45" customHeight="1">
      <x:c r="A4" s="16" t="str">
        <x:v>chronology_group_id</x:v>
      </x:c>
      <x:c r="B4" s="17" t="str">
        <x:v>operational_record</x:v>
      </x:c>
      <x:c r="C4" s="17" t="str">
        <x:v>canonical_site</x:v>
      </x:c>
      <x:c r="D4" s="17" t="str">
        <x:v>proxy_category</x:v>
      </x:c>
      <x:c r="E4" s="17" t="str">
        <x:v>source_chronology_group</x:v>
      </x:c>
      <x:c r="F4" s="17" t="str">
        <x:v>n_measurements</x:v>
      </x:c>
      <x:c r="G4" s="17" t="str">
        <x:v>bound_min_kyr</x:v>
      </x:c>
      <x:c r="H4" s="17" t="str">
        <x:v>bound_max_kyr</x:v>
      </x:c>
      <x:c r="I4" s="17" t="str">
        <x:v>distribution</x:v>
      </x:c>
      <x:c r="J4" s="17" t="str">
        <x:v>primary_scenario</x:v>
      </x:c>
      <x:c r="K4" s="18" t="str">
        <x:v>perturbation_rule</x:v>
      </x:c>
    </x:row>
    <x:row r="5" ht="15" hidden="0" customHeight="1">
      <x:c r="A5" s="29" t="str">
        <x:v>CHR-P1-ODP1209</x:v>
      </x:c>
      <x:c r="B5" s="29" t="str">
        <x:v>d13C::ODP1209</x:v>
      </x:c>
      <x:c r="C5" s="29" t="str">
        <x:v>ODP Site 1209, Shatsky Rise</x:v>
      </x:c>
      <x:c r="D5" s="29" t="str">
        <x:v>d13C</x:v>
      </x:c>
      <x:c r="E5" s="29" t="str">
        <x:v>chronology::ODP1209_shared</x:v>
      </x:c>
      <x:c r="F5" s="33" t="n">
        <x:v>93</x:v>
      </x:c>
      <x:c r="G5" s="33" t="n">
        <x:v>-87</x:v>
      </x:c>
      <x:c r="H5" s="33" t="n">
        <x:v>87</x:v>
      </x:c>
      <x:c r="I5" s="29" t="str">
        <x:v>Bounded Uniform(-87,+87 kyr)</x:v>
      </x:c>
      <x:c r="J5" s="29" t="str">
        <x:v>Yes</x:v>
      </x:c>
      <x:c r="K5" s="29" t="str">
        <x:v>Use shared group shift CHR-P1-ODP1209; no operational-record-specific age draw.</x:v>
      </x:c>
    </x:row>
    <x:row r="6" ht="15" hidden="0" customHeight="1">
      <x:c r="A6" s="30" t="str">
        <x:v>CHR-P1-ODP1209</x:v>
      </x:c>
      <x:c r="B6" s="30" t="str">
        <x:v>d13C::ODP1209 2</x:v>
      </x:c>
      <x:c r="C6" s="30" t="str">
        <x:v>ODP Site 1209, Shatsky Rise</x:v>
      </x:c>
      <x:c r="D6" s="30" t="str">
        <x:v>d13C</x:v>
      </x:c>
      <x:c r="E6" s="30" t="str">
        <x:v>chronology::ODP1209_shared</x:v>
      </x:c>
      <x:c r="F6" s="34" t="n">
        <x:v>665</x:v>
      </x:c>
      <x:c r="G6" s="34" t="n">
        <x:v>-87</x:v>
      </x:c>
      <x:c r="H6" s="34" t="n">
        <x:v>87</x:v>
      </x:c>
      <x:c r="I6" s="30" t="str">
        <x:v>Bounded Uniform(-87,+87 kyr)</x:v>
      </x:c>
      <x:c r="J6" s="30" t="str">
        <x:v>Yes</x:v>
      </x:c>
      <x:c r="K6" s="30" t="str">
        <x:v>Use shared group shift CHR-P1-ODP1209; no operational-record-specific age draw.</x:v>
      </x:c>
    </x:row>
    <x:row r="7" ht="15" hidden="0" customHeight="1">
      <x:c r="A7" s="31" t="str">
        <x:v>CHR-P1-ODP1209</x:v>
      </x:c>
      <x:c r="B7" s="31" t="str">
        <x:v>d13C::ODP1209 3</x:v>
      </x:c>
      <x:c r="C7" s="31" t="str">
        <x:v>ODP Site 1209, Shatsky Rise</x:v>
      </x:c>
      <x:c r="D7" s="31" t="str">
        <x:v>d13C</x:v>
      </x:c>
      <x:c r="E7" s="31" t="str">
        <x:v>chronology::ODP1209_shared</x:v>
      </x:c>
      <x:c r="F7" s="35" t="n">
        <x:v>32</x:v>
      </x:c>
      <x:c r="G7" s="35" t="n">
        <x:v>-87</x:v>
      </x:c>
      <x:c r="H7" s="35" t="n">
        <x:v>87</x:v>
      </x:c>
      <x:c r="I7" s="31" t="str">
        <x:v>Bounded Uniform(-87,+87 kyr)</x:v>
      </x:c>
      <x:c r="J7" s="31" t="str">
        <x:v>Yes</x:v>
      </x:c>
      <x:c r="K7" s="31" t="str">
        <x:v>Use shared group shift CHR-P1-ODP1209; no operational-record-specific age draw.</x:v>
      </x:c>
    </x:row>
    <x:row r="8" ht="15" hidden="0" customHeight="1">
      <x:c r="A8" s="30" t="str">
        <x:v>CHR-P1-ODP1209</x:v>
      </x:c>
      <x:c r="B8" s="30" t="str">
        <x:v>d13C::ODP1209 4</x:v>
      </x:c>
      <x:c r="C8" s="30" t="str">
        <x:v>ODP Site 1209, Shatsky Rise</x:v>
      </x:c>
      <x:c r="D8" s="30" t="str">
        <x:v>d13C</x:v>
      </x:c>
      <x:c r="E8" s="30" t="str">
        <x:v>chronology::ODP1209_shared</x:v>
      </x:c>
      <x:c r="F8" s="34" t="n">
        <x:v>105</x:v>
      </x:c>
      <x:c r="G8" s="34" t="n">
        <x:v>-87</x:v>
      </x:c>
      <x:c r="H8" s="34" t="n">
        <x:v>87</x:v>
      </x:c>
      <x:c r="I8" s="30" t="str">
        <x:v>Bounded Uniform(-87,+87 kyr)</x:v>
      </x:c>
      <x:c r="J8" s="30" t="str">
        <x:v>Yes</x:v>
      </x:c>
      <x:c r="K8" s="30" t="str">
        <x:v>Use shared group shift CHR-P1-ODP1209; no operational-record-specific age draw.</x:v>
      </x:c>
    </x:row>
    <x:row r="9" ht="15" hidden="0" customHeight="1">
      <x:c r="A9" s="31" t="str">
        <x:v>CHR-P1-ODP1209</x:v>
      </x:c>
      <x:c r="B9" s="31" t="str">
        <x:v>d13C::ODP1209 5</x:v>
      </x:c>
      <x:c r="C9" s="31" t="str">
        <x:v>ODP Site 1209, Shatsky Rise</x:v>
      </x:c>
      <x:c r="D9" s="31" t="str">
        <x:v>d13C</x:v>
      </x:c>
      <x:c r="E9" s="31" t="str">
        <x:v>chronology::ODP1209_shared</x:v>
      </x:c>
      <x:c r="F9" s="35" t="n">
        <x:v>60</x:v>
      </x:c>
      <x:c r="G9" s="35" t="n">
        <x:v>-87</x:v>
      </x:c>
      <x:c r="H9" s="35" t="n">
        <x:v>87</x:v>
      </x:c>
      <x:c r="I9" s="31" t="str">
        <x:v>Bounded Uniform(-87,+87 kyr)</x:v>
      </x:c>
      <x:c r="J9" s="31" t="str">
        <x:v>Yes</x:v>
      </x:c>
      <x:c r="K9" s="31" t="str">
        <x:v>Use shared group shift CHR-P1-ODP1209; no operational-record-specific age draw.</x:v>
      </x:c>
    </x:row>
    <x:row r="10" ht="15" hidden="0" customHeight="1">
      <x:c r="A10" s="30" t="str">
        <x:v>CHR-P1-ODP1209</x:v>
      </x:c>
      <x:c r="B10" s="30" t="str">
        <x:v>d13C::ODP1209 6</x:v>
      </x:c>
      <x:c r="C10" s="30" t="str">
        <x:v>ODP Site 1209, Shatsky Rise</x:v>
      </x:c>
      <x:c r="D10" s="30" t="str">
        <x:v>d13C</x:v>
      </x:c>
      <x:c r="E10" s="30" t="str">
        <x:v>chronology::ODP1209_shared</x:v>
      </x:c>
      <x:c r="F10" s="34" t="n">
        <x:v>292</x:v>
      </x:c>
      <x:c r="G10" s="34" t="n">
        <x:v>-87</x:v>
      </x:c>
      <x:c r="H10" s="34" t="n">
        <x:v>87</x:v>
      </x:c>
      <x:c r="I10" s="30" t="str">
        <x:v>Bounded Uniform(-87,+87 kyr)</x:v>
      </x:c>
      <x:c r="J10" s="30" t="str">
        <x:v>Yes</x:v>
      </x:c>
      <x:c r="K10" s="30" t="str">
        <x:v>Use shared group shift CHR-P1-ODP1209; no operational-record-specific age draw.</x:v>
      </x:c>
    </x:row>
    <x:row r="11" ht="15" hidden="0" customHeight="1">
      <x:c r="A11" s="31" t="str">
        <x:v>CHR-P1-ODP1209</x:v>
      </x:c>
      <x:c r="B11" s="31" t="str">
        <x:v>d18O::ODP1209</x:v>
      </x:c>
      <x:c r="C11" s="31" t="str">
        <x:v>ODP Site 1209, Shatsky Rise</x:v>
      </x:c>
      <x:c r="D11" s="31" t="str">
        <x:v>d18O</x:v>
      </x:c>
      <x:c r="E11" s="31" t="str">
        <x:v>chronology::ODP1209_shared</x:v>
      </x:c>
      <x:c r="F11" s="35" t="n">
        <x:v>93</x:v>
      </x:c>
      <x:c r="G11" s="35" t="n">
        <x:v>-87</x:v>
      </x:c>
      <x:c r="H11" s="35" t="n">
        <x:v>87</x:v>
      </x:c>
      <x:c r="I11" s="31" t="str">
        <x:v>Bounded Uniform(-87,+87 kyr)</x:v>
      </x:c>
      <x:c r="J11" s="31" t="str">
        <x:v>Yes</x:v>
      </x:c>
      <x:c r="K11" s="31" t="str">
        <x:v>Use shared group shift CHR-P1-ODP1209; no operational-record-specific age draw.</x:v>
      </x:c>
    </x:row>
    <x:row r="12" ht="15" hidden="0" customHeight="1">
      <x:c r="A12" s="30" t="str">
        <x:v>CHR-P1-ODP1209</x:v>
      </x:c>
      <x:c r="B12" s="30" t="str">
        <x:v>d18O::ODP1209 2</x:v>
      </x:c>
      <x:c r="C12" s="30" t="str">
        <x:v>ODP Site 1209, Shatsky Rise</x:v>
      </x:c>
      <x:c r="D12" s="30" t="str">
        <x:v>d18O</x:v>
      </x:c>
      <x:c r="E12" s="30" t="str">
        <x:v>chronology::ODP1209_shared</x:v>
      </x:c>
      <x:c r="F12" s="34" t="n">
        <x:v>665</x:v>
      </x:c>
      <x:c r="G12" s="34" t="n">
        <x:v>-87</x:v>
      </x:c>
      <x:c r="H12" s="34" t="n">
        <x:v>87</x:v>
      </x:c>
      <x:c r="I12" s="30" t="str">
        <x:v>Bounded Uniform(-87,+87 kyr)</x:v>
      </x:c>
      <x:c r="J12" s="30" t="str">
        <x:v>Yes</x:v>
      </x:c>
      <x:c r="K12" s="30" t="str">
        <x:v>Use shared group shift CHR-P1-ODP1209; no operational-record-specific age draw.</x:v>
      </x:c>
    </x:row>
    <x:row r="13" ht="15" hidden="0" customHeight="1">
      <x:c r="A13" s="31" t="str">
        <x:v>CHR-P1-ODP1209</x:v>
      </x:c>
      <x:c r="B13" s="31" t="str">
        <x:v>d18O::ODP1209 3</x:v>
      </x:c>
      <x:c r="C13" s="31" t="str">
        <x:v>ODP Site 1209, Shatsky Rise</x:v>
      </x:c>
      <x:c r="D13" s="31" t="str">
        <x:v>d18O</x:v>
      </x:c>
      <x:c r="E13" s="31" t="str">
        <x:v>chronology::ODP1209_shared</x:v>
      </x:c>
      <x:c r="F13" s="35" t="n">
        <x:v>32</x:v>
      </x:c>
      <x:c r="G13" s="35" t="n">
        <x:v>-87</x:v>
      </x:c>
      <x:c r="H13" s="35" t="n">
        <x:v>87</x:v>
      </x:c>
      <x:c r="I13" s="31" t="str">
        <x:v>Bounded Uniform(-87,+87 kyr)</x:v>
      </x:c>
      <x:c r="J13" s="31" t="str">
        <x:v>Yes</x:v>
      </x:c>
      <x:c r="K13" s="31" t="str">
        <x:v>Use shared group shift CHR-P1-ODP1209; no operational-record-specific age draw.</x:v>
      </x:c>
    </x:row>
    <x:row r="14" ht="15" hidden="0" customHeight="1">
      <x:c r="A14" s="30" t="str">
        <x:v>CHR-P1-ODP1209</x:v>
      </x:c>
      <x:c r="B14" s="30" t="str">
        <x:v>d18O::ODP1209 4</x:v>
      </x:c>
      <x:c r="C14" s="30" t="str">
        <x:v>ODP Site 1209, Shatsky Rise</x:v>
      </x:c>
      <x:c r="D14" s="30" t="str">
        <x:v>d18O</x:v>
      </x:c>
      <x:c r="E14" s="30" t="str">
        <x:v>chronology::ODP1209_shared</x:v>
      </x:c>
      <x:c r="F14" s="34" t="n">
        <x:v>105</x:v>
      </x:c>
      <x:c r="G14" s="34" t="n">
        <x:v>-87</x:v>
      </x:c>
      <x:c r="H14" s="34" t="n">
        <x:v>87</x:v>
      </x:c>
      <x:c r="I14" s="30" t="str">
        <x:v>Bounded Uniform(-87,+87 kyr)</x:v>
      </x:c>
      <x:c r="J14" s="30" t="str">
        <x:v>Yes</x:v>
      </x:c>
      <x:c r="K14" s="30" t="str">
        <x:v>Use shared group shift CHR-P1-ODP1209; no operational-record-specific age draw.</x:v>
      </x:c>
    </x:row>
    <x:row r="15" ht="15" hidden="0" customHeight="1">
      <x:c r="A15" s="31" t="str">
        <x:v>CHR-P1-ODP1209</x:v>
      </x:c>
      <x:c r="B15" s="31" t="str">
        <x:v>d18O::ODP1209 5</x:v>
      </x:c>
      <x:c r="C15" s="31" t="str">
        <x:v>ODP Site 1209, Shatsky Rise</x:v>
      </x:c>
      <x:c r="D15" s="31" t="str">
        <x:v>d18O</x:v>
      </x:c>
      <x:c r="E15" s="31" t="str">
        <x:v>chronology::ODP1209_shared</x:v>
      </x:c>
      <x:c r="F15" s="35" t="n">
        <x:v>60</x:v>
      </x:c>
      <x:c r="G15" s="35" t="n">
        <x:v>-87</x:v>
      </x:c>
      <x:c r="H15" s="35" t="n">
        <x:v>87</x:v>
      </x:c>
      <x:c r="I15" s="31" t="str">
        <x:v>Bounded Uniform(-87,+87 kyr)</x:v>
      </x:c>
      <x:c r="J15" s="31" t="str">
        <x:v>Yes</x:v>
      </x:c>
      <x:c r="K15" s="31" t="str">
        <x:v>Use shared group shift CHR-P1-ODP1209; no operational-record-specific age draw.</x:v>
      </x:c>
    </x:row>
    <x:row r="16" ht="15" hidden="0" customHeight="1">
      <x:c r="A16" s="30" t="str">
        <x:v>CHR-P1-ODP1209</x:v>
      </x:c>
      <x:c r="B16" s="30" t="str">
        <x:v>d18O::ODP1209 6</x:v>
      </x:c>
      <x:c r="C16" s="30" t="str">
        <x:v>ODP Site 1209, Shatsky Rise</x:v>
      </x:c>
      <x:c r="D16" s="30" t="str">
        <x:v>d18O</x:v>
      </x:c>
      <x:c r="E16" s="30" t="str">
        <x:v>chronology::ODP1209_shared</x:v>
      </x:c>
      <x:c r="F16" s="34" t="n">
        <x:v>292</x:v>
      </x:c>
      <x:c r="G16" s="34" t="n">
        <x:v>-87</x:v>
      </x:c>
      <x:c r="H16" s="34" t="n">
        <x:v>87</x:v>
      </x:c>
      <x:c r="I16" s="30" t="str">
        <x:v>Bounded Uniform(-87,+87 kyr)</x:v>
      </x:c>
      <x:c r="J16" s="30" t="str">
        <x:v>Yes</x:v>
      </x:c>
      <x:c r="K16" s="30" t="str">
        <x:v>Use shared group shift CHR-P1-ODP1209; no operational-record-specific age draw.</x:v>
      </x:c>
    </x:row>
    <x:row r="17" ht="15" hidden="0" customHeight="1">
      <x:c r="A17" s="31" t="str">
        <x:v>CHR-P1-ODP1209</x:v>
      </x:c>
      <x:c r="B17" s="31" t="str">
        <x:v>temperature::ODP1209</x:v>
      </x:c>
      <x:c r="C17" s="31" t="str">
        <x:v>ODP Site 1209, Shatsky Rise</x:v>
      </x:c>
      <x:c r="D17" s="31" t="str">
        <x:v>temperature</x:v>
      </x:c>
      <x:c r="E17" s="31" t="str">
        <x:v>chronology::ODP1209_shared</x:v>
      </x:c>
      <x:c r="F17" s="35" t="n">
        <x:v>175</x:v>
      </x:c>
      <x:c r="G17" s="35" t="n">
        <x:v>-87</x:v>
      </x:c>
      <x:c r="H17" s="35" t="n">
        <x:v>87</x:v>
      </x:c>
      <x:c r="I17" s="31" t="str">
        <x:v>Bounded Uniform(-87,+87 kyr)</x:v>
      </x:c>
      <x:c r="J17" s="31" t="str">
        <x:v>Yes</x:v>
      </x:c>
      <x:c r="K17" s="31" t="str">
        <x:v>Use shared group shift CHR-P1-ODP1209; no operational-record-specific age draw.</x:v>
      </x:c>
    </x:row>
    <x:row r="18" ht="15" hidden="0" customHeight="1">
      <x:c r="A18" s="30" t="str">
        <x:v>CHR-P1-ODP1209</x:v>
      </x:c>
      <x:c r="B18" s="30" t="str">
        <x:v>weathering::ODP1209C Ca</x:v>
      </x:c>
      <x:c r="C18" s="30" t="str">
        <x:v>ODP Site 1209, Shatsky Rise</x:v>
      </x:c>
      <x:c r="D18" s="30" t="str">
        <x:v>weathering</x:v>
      </x:c>
      <x:c r="E18" s="30" t="str">
        <x:v>chronology::ODP1209_shared</x:v>
      </x:c>
      <x:c r="F18" s="34" t="n">
        <x:v>66</x:v>
      </x:c>
      <x:c r="G18" s="34" t="n">
        <x:v>-87</x:v>
      </x:c>
      <x:c r="H18" s="34" t="n">
        <x:v>87</x:v>
      </x:c>
      <x:c r="I18" s="30" t="str">
        <x:v>Bounded Uniform(-87,+87 kyr)</x:v>
      </x:c>
      <x:c r="J18" s="30" t="str">
        <x:v>Yes</x:v>
      </x:c>
      <x:c r="K18" s="30" t="str">
        <x:v>Use shared group shift CHR-P1-ODP1209; no operational-record-specific age draw.</x:v>
      </x:c>
    </x:row>
    <x:row r="19" ht="15" hidden="0" customHeight="1">
      <x:c r="A19" s="31" t="str">
        <x:v>CHR-P1-ODP1209</x:v>
      </x:c>
      <x:c r="B19" s="31" t="str">
        <x:v>weathering::ODP1209C Ca2</x:v>
      </x:c>
      <x:c r="C19" s="31" t="str">
        <x:v>ODP Site 1209, Shatsky Rise</x:v>
      </x:c>
      <x:c r="D19" s="31" t="str">
        <x:v>weathering</x:v>
      </x:c>
      <x:c r="E19" s="31" t="str">
        <x:v>chronology::ODP1209_shared</x:v>
      </x:c>
      <x:c r="F19" s="35" t="n">
        <x:v>66</x:v>
      </x:c>
      <x:c r="G19" s="35" t="n">
        <x:v>-87</x:v>
      </x:c>
      <x:c r="H19" s="35" t="n">
        <x:v>87</x:v>
      </x:c>
      <x:c r="I19" s="31" t="str">
        <x:v>Bounded Uniform(-87,+87 kyr)</x:v>
      </x:c>
      <x:c r="J19" s="31" t="str">
        <x:v>Yes</x:v>
      </x:c>
      <x:c r="K19" s="31" t="str">
        <x:v>Use shared group shift CHR-P1-ODP1209; no operational-record-specific age draw.</x:v>
      </x:c>
    </x:row>
    <x:row r="20" ht="15" hidden="0" customHeight="1">
      <x:c r="A20" s="30" t="str">
        <x:v>CHR-P1-ODP1209</x:v>
      </x:c>
      <x:c r="B20" s="30" t="str">
        <x:v>weathering::ODP1209C Os</x:v>
      </x:c>
      <x:c r="C20" s="30" t="str">
        <x:v>ODP Site 1209, Shatsky Rise</x:v>
      </x:c>
      <x:c r="D20" s="30" t="str">
        <x:v>weathering</x:v>
      </x:c>
      <x:c r="E20" s="30" t="str">
        <x:v>chronology::ODP1209_shared</x:v>
      </x:c>
      <x:c r="F20" s="34" t="n">
        <x:v>47</x:v>
      </x:c>
      <x:c r="G20" s="34" t="n">
        <x:v>-87</x:v>
      </x:c>
      <x:c r="H20" s="34" t="n">
        <x:v>87</x:v>
      </x:c>
      <x:c r="I20" s="30" t="str">
        <x:v>Bounded Uniform(-87,+87 kyr)</x:v>
      </x:c>
      <x:c r="J20" s="30" t="str">
        <x:v>Yes</x:v>
      </x:c>
      <x:c r="K20" s="30" t="str">
        <x:v>Use shared group shift CHR-P1-ODP1209; no operational-record-specific age draw.</x:v>
      </x:c>
    </x:row>
    <x:row r="21" ht="15" hidden="0" customHeight="1">
      <x:c r="A21" s="31" t="str">
        <x:v>CHR-P2-U1403</x:v>
      </x:c>
      <x:c r="B21" s="31" t="str">
        <x:v>d13C::IODP U1403</x:v>
      </x:c>
      <x:c r="C21" s="31" t="str">
        <x:v>IODP Site U1403, J-Anomaly Ridge</x:v>
      </x:c>
      <x:c r="D21" s="31" t="str">
        <x:v>d13C</x:v>
      </x:c>
      <x:c r="E21" s="31" t="str">
        <x:v>chronology::IODP_U1403</x:v>
      </x:c>
      <x:c r="F21" s="35" t="n">
        <x:v>612</x:v>
      </x:c>
      <x:c r="G21" s="35" t="n">
        <x:v>-37</x:v>
      </x:c>
      <x:c r="H21" s="35" t="n">
        <x:v>37</x:v>
      </x:c>
      <x:c r="I21" s="31" t="str">
        <x:v>Bounded Uniform(-37,+37 kyr)</x:v>
      </x:c>
      <x:c r="J21" s="31" t="str">
        <x:v>Yes</x:v>
      </x:c>
      <x:c r="K21" s="31" t="str">
        <x:v>Use shared group shift CHR-P2-U1403; no operational-record-specific age draw.</x:v>
      </x:c>
    </x:row>
    <x:row r="22" ht="15" hidden="0" customHeight="1">
      <x:c r="A22" s="30" t="str">
        <x:v>CHR-P2-U1403</x:v>
      </x:c>
      <x:c r="B22" s="30" t="str">
        <x:v>d18O::IODP U1403</x:v>
      </x:c>
      <x:c r="C22" s="30" t="str">
        <x:v>IODP Site U1403, J-Anomaly Ridge</x:v>
      </x:c>
      <x:c r="D22" s="30" t="str">
        <x:v>d18O</x:v>
      </x:c>
      <x:c r="E22" s="30" t="str">
        <x:v>chronology::IODP_U1403</x:v>
      </x:c>
      <x:c r="F22" s="34" t="n">
        <x:v>612</x:v>
      </x:c>
      <x:c r="G22" s="34" t="n">
        <x:v>-37</x:v>
      </x:c>
      <x:c r="H22" s="34" t="n">
        <x:v>37</x:v>
      </x:c>
      <x:c r="I22" s="30" t="str">
        <x:v>Bounded Uniform(-37,+37 kyr)</x:v>
      </x:c>
      <x:c r="J22" s="30" t="str">
        <x:v>Yes</x:v>
      </x:c>
      <x:c r="K22" s="30" t="str">
        <x:v>Use shared group shift CHR-P2-U1403; no operational-record-specific age draw.</x:v>
      </x:c>
    </x:row>
    <x:row r="23" ht="15" hidden="0" customHeight="1">
      <x:c r="A23" s="31" t="str">
        <x:v>CHR-P2-U1403</x:v>
      </x:c>
      <x:c r="B23" s="31" t="str">
        <x:v>weathering::IODP U1403 Os</x:v>
      </x:c>
      <x:c r="C23" s="31" t="str">
        <x:v>IODP Site U1403, J-Anomaly Ridge</x:v>
      </x:c>
      <x:c r="D23" s="31" t="str">
        <x:v>weathering</x:v>
      </x:c>
      <x:c r="E23" s="31" t="str">
        <x:v>chronology::IODP_U1403_Os</x:v>
      </x:c>
      <x:c r="F23" s="35" t="n">
        <x:v>25</x:v>
      </x:c>
      <x:c r="G23" s="35" t="n">
        <x:v>-37</x:v>
      </x:c>
      <x:c r="H23" s="35" t="n">
        <x:v>37</x:v>
      </x:c>
      <x:c r="I23" s="31" t="str">
        <x:v>Bounded Uniform(-37,+37 kyr)</x:v>
      </x:c>
      <x:c r="J23" s="31" t="str">
        <x:v>Yes</x:v>
      </x:c>
      <x:c r="K23" s="31" t="str">
        <x:v>Use shared group shift CHR-P2-U1403; no operational-record-specific age draw.</x:v>
      </x:c>
    </x:row>
    <x:row r="24" ht="15" hidden="0" customHeight="1">
      <x:c r="A24" s="30" t="str">
        <x:v>CHR-P3-SEYMOUR</x:v>
      </x:c>
      <x:c r="B24" s="30" t="str">
        <x:v>temperature::Seymour Island</x:v>
      </x:c>
      <x:c r="C24" s="30" t="str">
        <x:v>Seymour Island, Antarctica</x:v>
      </x:c>
      <x:c r="D24" s="30" t="str">
        <x:v>temperature</x:v>
      </x:c>
      <x:c r="E24" s="30" t="str">
        <x:v>chronology::Seymour_Island_shared</x:v>
      </x:c>
      <x:c r="F24" s="34" t="n">
        <x:v>18</x:v>
      </x:c>
      <x:c r="G24" s="34" t="n">
        <x:v>-40</x:v>
      </x:c>
      <x:c r="H24" s="34" t="n">
        <x:v>40</x:v>
      </x:c>
      <x:c r="I24" s="30" t="str">
        <x:v>Bounded Uniform(-40,+40 kyr)</x:v>
      </x:c>
      <x:c r="J24" s="30" t="str">
        <x:v>Yes</x:v>
      </x:c>
      <x:c r="K24" s="30" t="str">
        <x:v>Use shared group shift CHR-P3-SEYMOUR; no operational-record-specific age draw.</x:v>
      </x:c>
    </x:row>
    <x:row r="25" ht="15" hidden="0" customHeight="1">
      <x:c r="A25" s="31" t="str">
        <x:v>CHR-P3-SEYMOUR</x:v>
      </x:c>
      <x:c r="B25" s="31" t="str">
        <x:v>temperature::Seymour Island 2</x:v>
      </x:c>
      <x:c r="C25" s="31" t="str">
        <x:v>Seymour Island, Antarctica</x:v>
      </x:c>
      <x:c r="D25" s="31" t="str">
        <x:v>temperature</x:v>
      </x:c>
      <x:c r="E25" s="31" t="str">
        <x:v>chronology::Seymour_Island_shared</x:v>
      </x:c>
      <x:c r="F25" s="35" t="n">
        <x:v>17</x:v>
      </x:c>
      <x:c r="G25" s="35" t="n">
        <x:v>-40</x:v>
      </x:c>
      <x:c r="H25" s="35" t="n">
        <x:v>40</x:v>
      </x:c>
      <x:c r="I25" s="31" t="str">
        <x:v>Bounded Uniform(-40,+40 kyr)</x:v>
      </x:c>
      <x:c r="J25" s="31" t="str">
        <x:v>Yes</x:v>
      </x:c>
      <x:c r="K25" s="31" t="str">
        <x:v>Use shared group shift CHR-P3-SEYMOUR; no operational-record-specific age draw.</x:v>
      </x:c>
    </x:row>
    <x:row r="26" ht="15" hidden="0" customHeight="1">
      <x:c r="A26" s="30" t="str">
        <x:v>CHR-P3-SEYMOUR</x:v>
      </x:c>
      <x:c r="B26" s="30" t="str">
        <x:v>temperature::Seymour Island 3</x:v>
      </x:c>
      <x:c r="C26" s="30" t="str">
        <x:v>Seymour Island, Antarctica</x:v>
      </x:c>
      <x:c r="D26" s="30" t="str">
        <x:v>temperature</x:v>
      </x:c>
      <x:c r="E26" s="30" t="str">
        <x:v>chronology::Seymour_Island_shared</x:v>
      </x:c>
      <x:c r="F26" s="34" t="n">
        <x:v>21</x:v>
      </x:c>
      <x:c r="G26" s="34" t="n">
        <x:v>-40</x:v>
      </x:c>
      <x:c r="H26" s="34" t="n">
        <x:v>40</x:v>
      </x:c>
      <x:c r="I26" s="30" t="str">
        <x:v>Bounded Uniform(-40,+40 kyr)</x:v>
      </x:c>
      <x:c r="J26" s="30" t="str">
        <x:v>Yes</x:v>
      </x:c>
      <x:c r="K26" s="30" t="str">
        <x:v>Use shared group shift CHR-P3-SEYMOUR; no operational-record-specific age draw.</x:v>
      </x:c>
    </x:row>
    <x:row r="27" ht="15" hidden="0" customHeight="1">
      <x:c r="A27" s="31" t="str">
        <x:v>CHR-P3-SEYMOUR</x:v>
      </x:c>
      <x:c r="B27" s="31" t="str">
        <x:v>weathering::Seymour Island, Antarctica Ca</x:v>
      </x:c>
      <x:c r="C27" s="31" t="str">
        <x:v>Seymour Island, Antarctica</x:v>
      </x:c>
      <x:c r="D27" s="31" t="str">
        <x:v>weathering</x:v>
      </x:c>
      <x:c r="E27" s="31" t="str">
        <x:v>chronology::Seymour_Island_shared</x:v>
      </x:c>
      <x:c r="F27" s="35" t="n">
        <x:v>42</x:v>
      </x:c>
      <x:c r="G27" s="35" t="n">
        <x:v>-40</x:v>
      </x:c>
      <x:c r="H27" s="35" t="n">
        <x:v>40</x:v>
      </x:c>
      <x:c r="I27" s="31" t="str">
        <x:v>Bounded Uniform(-40,+40 kyr)</x:v>
      </x:c>
      <x:c r="J27" s="31" t="str">
        <x:v>Yes</x:v>
      </x:c>
      <x:c r="K27" s="31" t="str">
        <x:v>Use shared group shift CHR-P3-SEYMOUR; no operational-record-specific age draw.</x:v>
      </x:c>
    </x:row>
    <x:row r="28" ht="15" hidden="0" customHeight="1">
      <x:c r="A28" s="32" t="str">
        <x:v>CHR-P3-SEYMOUR</x:v>
      </x:c>
      <x:c r="B28" s="32" t="str">
        <x:v>weathering::Seymour Island, Antarctica Sr</x:v>
      </x:c>
      <x:c r="C28" s="32" t="str">
        <x:v>Seymour Island, Antarctica</x:v>
      </x:c>
      <x:c r="D28" s="32" t="str">
        <x:v>weathering</x:v>
      </x:c>
      <x:c r="E28" s="32" t="str">
        <x:v>chronology::Seymour_Island_shared</x:v>
      </x:c>
      <x:c r="F28" s="36" t="n">
        <x:v>35</x:v>
      </x:c>
      <x:c r="G28" s="36" t="n">
        <x:v>-40</x:v>
      </x:c>
      <x:c r="H28" s="36" t="n">
        <x:v>40</x:v>
      </x:c>
      <x:c r="I28" s="32" t="str">
        <x:v>Bounded Uniform(-40,+40 kyr)</x:v>
      </x:c>
      <x:c r="J28" s="32" t="str">
        <x:v>Yes</x:v>
      </x:c>
      <x:c r="K28" s="32" t="str">
        <x:v>Use shared group shift CHR-P3-SEYMOUR; no operational-record-specific age draw.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31" hidden="0" customWidth="1"/>
    <x:col min="4" max="4" width="14" hidden="0" customWidth="1"/>
    <x:col min="5" max="5" width="32" hidden="0" customWidth="1"/>
    <x:col min="6" max="6" width="16" hidden="0" customWidth="1"/>
    <x:col min="7" max="7" width="15" hidden="0" customWidth="1"/>
    <x:col min="8" max="8" width="15" hidden="0" customWidth="1"/>
    <x:col min="9" max="9" width="33" hidden="0" customWidth="1"/>
    <x:col min="10" max="10" width="24" hidden="0" customWidth="1"/>
    <x:col min="11" max="11" width="68" hidden="0" customWidth="1"/>
    <x:col min="12" max="12" width="65" hidden="0" customWidth="1"/>
  </x:cols>
  <x:sheetData>
    <x:row r="1" ht="30" customHeight="1">
      <x:c r="A1" s="3" t="str">
        <x:v>Expanded sensitivity only — ODP 1210</x:v>
      </x:c>
    </x:row>
    <x:row r="2" ht="42" customHeight="1">
      <x:c r="A2" s="7" t="str">
        <x:v>These two records are excluded from the primary 24-record scenario. Their ±87-kyr bound is a low-confidence method/site-class extension rather than direct Site 1210 evidence.</x:v>
      </x:c>
    </x:row>
    <x:row r="4" ht="45" customHeight="1">
      <x:c r="A4" s="16" t="str">
        <x:v>chronology_group_id</x:v>
      </x:c>
      <x:c r="B4" s="17" t="str">
        <x:v>operational_record</x:v>
      </x:c>
      <x:c r="C4" s="17" t="str">
        <x:v>canonical_site</x:v>
      </x:c>
      <x:c r="D4" s="17" t="str">
        <x:v>proxy_category</x:v>
      </x:c>
      <x:c r="E4" s="17" t="str">
        <x:v>source_chronology_group</x:v>
      </x:c>
      <x:c r="F4" s="17" t="str">
        <x:v>n_measurements</x:v>
      </x:c>
      <x:c r="G4" s="17" t="str">
        <x:v>bound_min_kyr</x:v>
      </x:c>
      <x:c r="H4" s="17" t="str">
        <x:v>bound_max_kyr</x:v>
      </x:c>
      <x:c r="I4" s="17" t="str">
        <x:v>distribution</x:v>
      </x:c>
      <x:c r="J4" s="17" t="str">
        <x:v>scenario_status</x:v>
      </x:c>
      <x:c r="K4" s="17" t="str">
        <x:v>perturbation_rule</x:v>
      </x:c>
      <x:c r="L4" s="18" t="str">
        <x:v>reason_not_primary</x:v>
      </x:c>
    </x:row>
    <x:row r="5" ht="19.200000762939453" hidden="0" customHeight="1">
      <x:c r="A5" s="29" t="str">
        <x:v>CHR-X1-ODP1210</x:v>
      </x:c>
      <x:c r="B5" s="29" t="str">
        <x:v>d18O::ODP1210</x:v>
      </x:c>
      <x:c r="C5" s="29" t="str">
        <x:v>ODP Site 1210, Shatsky Rise</x:v>
      </x:c>
      <x:c r="D5" s="29" t="str">
        <x:v>d18O</x:v>
      </x:c>
      <x:c r="E5" s="29" t="str">
        <x:v>chronology::ODP1210_shared</x:v>
      </x:c>
      <x:c r="F5" s="33" t="n">
        <x:v>25</x:v>
      </x:c>
      <x:c r="G5" s="33" t="n">
        <x:v>-87</x:v>
      </x:c>
      <x:c r="H5" s="33" t="n">
        <x:v>87</x:v>
      </x:c>
      <x:c r="I5" s="29" t="str">
        <x:v>Bounded Uniform(-87,+87 kyr)</x:v>
      </x:c>
      <x:c r="J5" s="29" t="str">
        <x:v>Expanded sensitivity only</x:v>
      </x:c>
      <x:c r="K5" s="29" t="str">
        <x:v>Expanded sensitivity only. The two Site 1210 records must share one shift. If evaluated together with ODP 1209, use the same Shatsky draw as CHR-P1-ODP1209 rather than creating an additional independent shift.</x:v>
      </x:c>
      <x:c r="L5" s="29" t="str">
        <x:v>Low-confidence method/site-class extension from ODP 1209; no direct Site 1210 numeric timing range is reported.</x:v>
      </x:c>
    </x:row>
    <x:row r="6" ht="19.200000762939453" hidden="0" customHeight="1">
      <x:c r="A6" s="32" t="str">
        <x:v>CHR-X1-ODP1210</x:v>
      </x:c>
      <x:c r="B6" s="32" t="str">
        <x:v>d18O::ODP1210B</x:v>
      </x:c>
      <x:c r="C6" s="32" t="str">
        <x:v>ODP Site 1210, Shatsky Rise</x:v>
      </x:c>
      <x:c r="D6" s="32" t="str">
        <x:v>d18O</x:v>
      </x:c>
      <x:c r="E6" s="32" t="str">
        <x:v>chronology::ODP1210_shared</x:v>
      </x:c>
      <x:c r="F6" s="36" t="n">
        <x:v>58</x:v>
      </x:c>
      <x:c r="G6" s="36" t="n">
        <x:v>-87</x:v>
      </x:c>
      <x:c r="H6" s="36" t="n">
        <x:v>87</x:v>
      </x:c>
      <x:c r="I6" s="32" t="str">
        <x:v>Bounded Uniform(-87,+87 kyr)</x:v>
      </x:c>
      <x:c r="J6" s="32" t="str">
        <x:v>Expanded sensitivity only</x:v>
      </x:c>
      <x:c r="K6" s="32" t="str">
        <x:v>Expanded sensitivity only. The two Site 1210 records must share one shift. If evaluated together with ODP 1209, use the same Shatsky draw as CHR-P1-ODP1209 rather than creating an additional independent shift.</x:v>
      </x:c>
      <x:c r="L6" s="32" t="str">
        <x:v>Low-confidence method/site-class extension from ODP 1209; no direct Site 1210 numeric timing range is reported.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7" hidden="0" customWidth="1"/>
    <x:col min="3" max="3" width="20" hidden="0" customWidth="1"/>
    <x:col min="4" max="4" width="25" hidden="0" customWidth="1"/>
    <x:col min="5" max="5" width="88" hidden="0" customWidth="1"/>
  </x:cols>
  <x:sheetData>
    <x:row r="1" ht="30" customHeight="1">
      <x:c r="A1" s="3" t="str">
        <x:v>Records excluded from primary record-specific shift simulation</x:v>
      </x:c>
    </x:row>
    <x:row r="2" ht="42" customHeight="1">
      <x:c r="A2" s="7" t="str">
        <x:v>All 19 common/shared-systematic, 9 segment/hiatus-related and 16 no-quantitative-range records remain outside the primary scenario.</x:v>
      </x:c>
    </x:row>
    <x:row r="4" ht="45" customHeight="1">
      <x:c r="A4" s="16" t="str">
        <x:v>source_decision_class</x:v>
      </x:c>
      <x:c r="B4" s="17" t="str">
        <x:v>record_count</x:v>
      </x:c>
      <x:c r="C4" s="17" t="str">
        <x:v>measurement_count</x:v>
      </x:c>
      <x:c r="D4" s="17" t="str">
        <x:v>primary_record_specific_shift</x:v>
      </x:c>
      <x:c r="E4" s="18" t="str">
        <x:v>reason</x:v>
      </x:c>
    </x:row>
    <x:row r="5" ht="19.200000762939453" hidden="0" customHeight="1">
      <x:c r="A5" s="29" t="str">
        <x:v>Fixed in record-specific Layer 2 — common/shared systematic only</x:v>
      </x:c>
      <x:c r="B5" s="33" t="n">
        <x:v>19</x:v>
      </x:c>
      <x:c r="C5" s="33" t="n">
        <x:v>4701</x:v>
      </x:c>
      <x:c r="D5" s="29" t="str">
        <x:v>No</x:v>
      </x:c>
      <x:c r="E5" s="29" t="str">
        <x:v>19 records have only a common/shared absolute or astronomical systematic. They cannot receive independent record-specific shifts and are excluded from the primary scenario.</x:v>
      </x:c>
    </x:row>
    <x:row r="6" ht="15" hidden="0" customHeight="1">
      <x:c r="A6" s="30" t="str">
        <x:v>Fixed in simple Layer 2 — structural/interval model required</x:v>
      </x:c>
      <x:c r="B6" s="34" t="n">
        <x:v>9</x:v>
      </x:c>
      <x:c r="C6" s="34" t="n">
        <x:v>1135</x:v>
      </x:c>
      <x:c r="D6" s="30" t="str">
        <x:v>No</x:v>
      </x:c>
      <x:c r="E6" s="30" t="str">
        <x:v>9 records contain a hiatus, segment-specific bias or other structural chronology issue. A uniform whole-record shift would misrepresent the source problem.</x:v>
      </x:c>
    </x:row>
    <x:row r="7" ht="15" hidden="0" customHeight="1">
      <x:c r="A7" s="37" t="str">
        <x:v>Fixed — no defensible quantitative record-specific range</x:v>
      </x:c>
      <x:c r="B7" s="38" t="n">
        <x:v>16</x:v>
      </x:c>
      <x:c r="C7" s="38" t="n">
        <x:v>732</x:v>
      </x:c>
      <x:c r="D7" s="37" t="str">
        <x:v>No</x:v>
      </x:c>
      <x:c r="E7" s="37" t="str">
        <x:v>16 records have no source- or method-supported quantitative local timing range and remain fixed.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" hidden="0" customWidth="1"/>
    <x:col min="3" max="3" width="85" hidden="0" customWidth="1"/>
    <x:col min="4" max="4" width="88" hidden="0" customWidth="1"/>
  </x:cols>
  <x:sheetData>
    <x:row r="1" ht="30" customHeight="1">
      <x:c r="A1" s="3" t="str">
        <x:v>Chronology perturbation execution rules</x:v>
      </x:c>
    </x:row>
    <x:row r="2" ht="42" customHeight="1">
      <x:c r="A2" s="7" t="str">
        <x:v>These rules are the locked interface for a future primary chronology-shift sensitivity analysis; no simulation was run in this audit.</x:v>
      </x:c>
    </x:row>
    <x:row r="4" ht="45" customHeight="1">
      <x:c r="A4" s="16" t="str">
        <x:v>rule_id</x:v>
      </x:c>
      <x:c r="B4" s="17" t="str">
        <x:v>rule</x:v>
      </x:c>
      <x:c r="C4" s="17" t="str">
        <x:v>implementation requirement</x:v>
      </x:c>
      <x:c r="D4" s="18" t="str">
        <x:v>scientific rationale</x:v>
      </x:c>
    </x:row>
    <x:row r="5" ht="15" hidden="0" customHeight="1">
      <x:c r="A5" s="29" t="str">
        <x:v>R1</x:v>
      </x:c>
      <x:c r="B5" s="29" t="str">
        <x:v>Group-level sampling</x:v>
      </x:c>
      <x:c r="C5" s="29" t="str">
        <x:v>Draw exactly one age shift per primary chronology_group_id per realization.</x:v>
      </x:c>
      <x:c r="D5" s="29" t="str">
        <x:v>Multiple proxy records using one chronology are not independent chronological observations.</x:v>
      </x:c>
    </x:row>
    <x:row r="6" ht="15" hidden="0" customHeight="1">
      <x:c r="A6" s="30" t="str">
        <x:v>R2</x:v>
      </x:c>
      <x:c r="B6" s="30" t="str">
        <x:v>Bounded sensitivity</x:v>
      </x:c>
      <x:c r="C6" s="30" t="str">
        <x:v>Use bounded uniform distributions exactly as listed; do not convert published mismatches or upper bounds into Gaussian σ.</x:v>
      </x:c>
      <x:c r="D6" s="30" t="str">
        <x:v>The sources provide empirical mismatch/conservative bounds, not probability definitions.</x:v>
      </x:c>
    </x:row>
    <x:row r="7" ht="15" hidden="0" customHeight="1">
      <x:c r="A7" s="31" t="str">
        <x:v>R3</x:v>
      </x:c>
      <x:c r="B7" s="31" t="str">
        <x:v>Preserve internal chronology</x:v>
      </x:c>
      <x:c r="C7" s="31" t="str">
        <x:v>Apply Age* = Age + Δgroup/1000 to every observation in every group member; keep within-record age differences unchanged.</x:v>
      </x:c>
      <x:c r="D7" s="31" t="str">
        <x:v>Whole-record correlated shift represents uncertain absolute placement, not independent sample-age noise.</x:v>
      </x:c>
    </x:row>
    <x:row r="8" ht="15" hidden="0" customHeight="1">
      <x:c r="A8" s="30" t="str">
        <x:v>R4</x:v>
      </x:c>
      <x:c r="B8" s="30" t="str">
        <x:v>ODP 1210 expanded only</x:v>
      </x:c>
      <x:c r="C8" s="30" t="str">
        <x:v>Exclude CHR-X1-ODP1210 from the primary scenario. If added, both records share one shift; if combined with ODP 1209, use the same Shatsky draw.</x:v>
      </x:c>
      <x:c r="D8" s="30" t="str">
        <x:v>No direct Site 1210 numeric timing-range evidence is available.</x:v>
      </x:c>
    </x:row>
    <x:row r="9" ht="15" hidden="0" customHeight="1">
      <x:c r="A9" s="31" t="str">
        <x:v>R5</x:v>
      </x:c>
      <x:c r="B9" s="31" t="str">
        <x:v>Excluded classes</x:v>
      </x:c>
      <x:c r="C9" s="31" t="str">
        <x:v>Do not perturb the 19 common-systematic, 9 structural/segment, or 16 no-range records in the primary record-specific shift simulation.</x:v>
      </x:c>
      <x:c r="D9" s="31" t="str">
        <x:v>Common systematics need a separate global/shared scenario; hiatus/segment problems need different models; unsupported ranges must not be imputed.</x:v>
      </x:c>
    </x:row>
    <x:row r="10" ht="15" hidden="0" customHeight="1">
      <x:c r="A10" s="32" t="str">
        <x:v>R6</x:v>
      </x:c>
      <x:c r="B10" s="32" t="str">
        <x:v>No simulation in this audit</x:v>
      </x:c>
      <x:c r="C10" s="32" t="str">
        <x:v>This workbook defines grouping only. No ages, bins, EV values, Dataset, figures or manuscript were changed.</x:v>
      </x:c>
      <x:c r="D10" s="32" t="str">
        <x:v>Separates parameter design from execution and preserves the locked baseline.</x:v>
      </x:c>
    </x:row>
  </x:sheetData>
  <x:mergeCells>
    <x:mergeCell ref="A1:D1"/>
    <x:mergeCell ref="A2:D2"/>
  </x:mergeCells>
  <x:pageMargins left="0.7" right="0.7" top="0.75" bottom="0.75" header="0.3" footer="0.3"/>
</x:worksheet>
</file>