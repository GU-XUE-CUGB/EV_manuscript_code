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xuegu/Documents/Codex/2026-08-17/k-pg-environmental-variability-ev-science-2/outputs/KPg_EV_SA_revision_working/01_data_revised/formal_datasets/"/>
    </mc:Choice>
  </mc:AlternateContent>
  <xr:revisionPtr revIDLastSave="0" documentId="13_ncr:1_{9B45168E-7891-5F4B-B497-44002ED9C9AB}" xr6:coauthVersionLast="47" xr6:coauthVersionMax="47" xr10:uidLastSave="{00000000-0000-0000-0000-000000000000}"/>
  <bookViews>
    <workbookView xWindow="280" yWindow="640" windowWidth="27160" windowHeight="17100" xr2:uid="{00000000-000D-0000-FFFF-FFFF00000000}"/>
  </bookViews>
  <sheets>
    <sheet name="total data" sheetId="48" r:id="rId1"/>
    <sheet name="total IQR" sheetId="47" r:id="rId2"/>
    <sheet name="total z-score" sheetId="49" r:id="rId3"/>
    <sheet name="DSDP528" sheetId="2" r:id="rId4"/>
    <sheet name="ODP690" sheetId="3" r:id="rId5"/>
    <sheet name="ODP690 2" sheetId="6" r:id="rId6"/>
    <sheet name="ODP1209" sheetId="7" r:id="rId7"/>
    <sheet name="Haymana Basin" sheetId="8" r:id="rId8"/>
    <sheet name="Haymana Basin 2" sheetId="38" r:id="rId9"/>
    <sheet name="DSDP577" sheetId="9" r:id="rId10"/>
    <sheet name="ODP1049" sheetId="10" r:id="rId11"/>
    <sheet name="DSDP384" sheetId="11" r:id="rId12"/>
    <sheet name="DSDP525" sheetId="12" r:id="rId13"/>
    <sheet name="DSDP525 2" sheetId="34" r:id="rId14"/>
    <sheet name="ODP1262" sheetId="14" r:id="rId15"/>
    <sheet name="Bass River" sheetId="15" r:id="rId16"/>
    <sheet name="Bass River 2" sheetId="35" r:id="rId17"/>
    <sheet name="Bass River 3" sheetId="20" r:id="rId18"/>
    <sheet name="Bass River 4" sheetId="29" r:id="rId19"/>
    <sheet name="Meirs Farm" sheetId="18" r:id="rId20"/>
    <sheet name="Brazos River" sheetId="19" r:id="rId21"/>
    <sheet name="Bajada del Jagüel" sheetId="21" r:id="rId22"/>
    <sheet name="West Texas" sheetId="22" r:id="rId23"/>
    <sheet name="Williston Basin" sheetId="23" r:id="rId24"/>
    <sheet name="Garfield County" sheetId="24" r:id="rId25"/>
    <sheet name="Seymour Island" sheetId="25" r:id="rId26"/>
    <sheet name="Seymour Island 2" sheetId="41" r:id="rId27"/>
    <sheet name="Seymour Island 3" sheetId="42" r:id="rId28"/>
    <sheet name="EI Kef" sheetId="30" r:id="rId29"/>
    <sheet name="Songliao Basin" sheetId="37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7" l="1"/>
  <c r="F30" i="37"/>
  <c r="H29" i="37"/>
  <c r="D29" i="37"/>
  <c r="H28" i="37"/>
  <c r="D28" i="37"/>
  <c r="H27" i="37"/>
  <c r="D27" i="37"/>
  <c r="H26" i="37"/>
  <c r="D26" i="37"/>
  <c r="H25" i="37"/>
  <c r="D25" i="37"/>
  <c r="H24" i="37"/>
  <c r="D24" i="37"/>
  <c r="H23" i="37"/>
  <c r="D23" i="37"/>
  <c r="H22" i="37"/>
  <c r="D22" i="37"/>
  <c r="H21" i="37"/>
  <c r="D21" i="37"/>
  <c r="H20" i="37"/>
  <c r="D20" i="37"/>
  <c r="H19" i="37"/>
  <c r="D19" i="37"/>
  <c r="H18" i="37"/>
  <c r="D18" i="37"/>
  <c r="H17" i="37"/>
  <c r="D17" i="37"/>
  <c r="H16" i="37"/>
  <c r="D16" i="37"/>
  <c r="H15" i="37"/>
  <c r="D15" i="37"/>
  <c r="H14" i="37"/>
  <c r="D14" i="37"/>
  <c r="H13" i="37"/>
  <c r="D13" i="37"/>
  <c r="H12" i="37"/>
  <c r="D12" i="37"/>
  <c r="H11" i="37"/>
  <c r="D11" i="37"/>
  <c r="H10" i="37"/>
  <c r="D10" i="37"/>
  <c r="H9" i="37"/>
  <c r="D9" i="37"/>
  <c r="H8" i="37"/>
  <c r="D8" i="37"/>
  <c r="H7" i="37"/>
  <c r="D7" i="37"/>
  <c r="H6" i="37"/>
  <c r="D6" i="37"/>
  <c r="H5" i="37"/>
  <c r="D5" i="37"/>
  <c r="H4" i="37"/>
  <c r="D4" i="37"/>
  <c r="H3" i="37"/>
  <c r="D3" i="37"/>
  <c r="H2" i="37"/>
  <c r="D2" i="37"/>
  <c r="F43" i="30"/>
  <c r="F42" i="30"/>
  <c r="H41" i="30"/>
  <c r="D41" i="30"/>
  <c r="H40" i="30"/>
  <c r="D40" i="30"/>
  <c r="H39" i="30"/>
  <c r="D39" i="30"/>
  <c r="H38" i="30"/>
  <c r="D38" i="30"/>
  <c r="H37" i="30"/>
  <c r="D37" i="30"/>
  <c r="H36" i="30"/>
  <c r="D36" i="30"/>
  <c r="H35" i="30"/>
  <c r="D35" i="30"/>
  <c r="H34" i="30"/>
  <c r="D34" i="30"/>
  <c r="H33" i="30"/>
  <c r="D33" i="30"/>
  <c r="H32" i="30"/>
  <c r="D32" i="30"/>
  <c r="H31" i="30"/>
  <c r="D31" i="30"/>
  <c r="H30" i="30"/>
  <c r="D30" i="30"/>
  <c r="H29" i="30"/>
  <c r="D29" i="30"/>
  <c r="H28" i="30"/>
  <c r="D28" i="30"/>
  <c r="H27" i="30"/>
  <c r="D27" i="30"/>
  <c r="H26" i="30"/>
  <c r="D26" i="30"/>
  <c r="H25" i="30"/>
  <c r="D25" i="30"/>
  <c r="H24" i="30"/>
  <c r="D24" i="30"/>
  <c r="H23" i="30"/>
  <c r="D23" i="30"/>
  <c r="H22" i="30"/>
  <c r="D22" i="30"/>
  <c r="H21" i="30"/>
  <c r="D21" i="30"/>
  <c r="H20" i="30"/>
  <c r="D20" i="30"/>
  <c r="H19" i="30"/>
  <c r="D19" i="30"/>
  <c r="H18" i="30"/>
  <c r="D18" i="30"/>
  <c r="H17" i="30"/>
  <c r="D17" i="30"/>
  <c r="H16" i="30"/>
  <c r="D16" i="30"/>
  <c r="H15" i="30"/>
  <c r="D15" i="30"/>
  <c r="H14" i="30"/>
  <c r="D14" i="30"/>
  <c r="H13" i="30"/>
  <c r="D13" i="30"/>
  <c r="H12" i="30"/>
  <c r="D12" i="30"/>
  <c r="H11" i="30"/>
  <c r="D11" i="30"/>
  <c r="H10" i="30"/>
  <c r="D10" i="30"/>
  <c r="H9" i="30"/>
  <c r="D9" i="30"/>
  <c r="H8" i="30"/>
  <c r="D8" i="30"/>
  <c r="H7" i="30"/>
  <c r="D7" i="30"/>
  <c r="H6" i="30"/>
  <c r="D6" i="30"/>
  <c r="H5" i="30"/>
  <c r="D5" i="30"/>
  <c r="H4" i="30"/>
  <c r="D4" i="30"/>
  <c r="H3" i="30"/>
  <c r="D3" i="30"/>
  <c r="H2" i="30"/>
  <c r="D2" i="30"/>
  <c r="F24" i="42"/>
  <c r="F23" i="42"/>
  <c r="I22" i="42"/>
  <c r="D22" i="42"/>
  <c r="I21" i="42"/>
  <c r="D21" i="42"/>
  <c r="I20" i="42"/>
  <c r="D20" i="42"/>
  <c r="I19" i="42"/>
  <c r="D19" i="42"/>
  <c r="I18" i="42"/>
  <c r="D18" i="42"/>
  <c r="I17" i="42"/>
  <c r="D17" i="42"/>
  <c r="I16" i="42"/>
  <c r="D16" i="42"/>
  <c r="I15" i="42"/>
  <c r="D15" i="42"/>
  <c r="I14" i="42"/>
  <c r="D14" i="42"/>
  <c r="I13" i="42"/>
  <c r="D13" i="42"/>
  <c r="I12" i="42"/>
  <c r="D12" i="42"/>
  <c r="I11" i="42"/>
  <c r="D11" i="42"/>
  <c r="I10" i="42"/>
  <c r="D10" i="42"/>
  <c r="I9" i="42"/>
  <c r="D9" i="42"/>
  <c r="I8" i="42"/>
  <c r="D8" i="42"/>
  <c r="I7" i="42"/>
  <c r="D7" i="42"/>
  <c r="I6" i="42"/>
  <c r="D6" i="42"/>
  <c r="I5" i="42"/>
  <c r="D5" i="42"/>
  <c r="I4" i="42"/>
  <c r="D4" i="42"/>
  <c r="I3" i="42"/>
  <c r="D3" i="42"/>
  <c r="I2" i="42"/>
  <c r="D2" i="42"/>
  <c r="F20" i="41"/>
  <c r="F19" i="41"/>
  <c r="I18" i="41"/>
  <c r="D18" i="41"/>
  <c r="I17" i="41"/>
  <c r="D17" i="41"/>
  <c r="I16" i="41"/>
  <c r="D16" i="41"/>
  <c r="I15" i="41"/>
  <c r="D15" i="41"/>
  <c r="I14" i="41"/>
  <c r="D14" i="41"/>
  <c r="I13" i="41"/>
  <c r="D13" i="41"/>
  <c r="I12" i="41"/>
  <c r="D12" i="41"/>
  <c r="I11" i="41"/>
  <c r="D11" i="41"/>
  <c r="I10" i="41"/>
  <c r="D10" i="41"/>
  <c r="I9" i="41"/>
  <c r="D9" i="41"/>
  <c r="I8" i="41"/>
  <c r="D8" i="41"/>
  <c r="I7" i="41"/>
  <c r="D7" i="41"/>
  <c r="I6" i="41"/>
  <c r="D6" i="41"/>
  <c r="I5" i="41"/>
  <c r="D5" i="41"/>
  <c r="I4" i="41"/>
  <c r="D4" i="41"/>
  <c r="I3" i="41"/>
  <c r="D3" i="41"/>
  <c r="I2" i="41"/>
  <c r="D2" i="41"/>
  <c r="F21" i="25"/>
  <c r="F20" i="25"/>
  <c r="I19" i="25"/>
  <c r="D19" i="25"/>
  <c r="I18" i="25"/>
  <c r="D18" i="25"/>
  <c r="I17" i="25"/>
  <c r="D17" i="25"/>
  <c r="I16" i="25"/>
  <c r="D16" i="25"/>
  <c r="I15" i="25"/>
  <c r="D15" i="25"/>
  <c r="I14" i="25"/>
  <c r="D14" i="25"/>
  <c r="I13" i="25"/>
  <c r="D13" i="25"/>
  <c r="I12" i="25"/>
  <c r="D12" i="25"/>
  <c r="I11" i="25"/>
  <c r="D11" i="25"/>
  <c r="I10" i="25"/>
  <c r="D10" i="25"/>
  <c r="I9" i="25"/>
  <c r="D9" i="25"/>
  <c r="I8" i="25"/>
  <c r="D8" i="25"/>
  <c r="I7" i="25"/>
  <c r="D7" i="25"/>
  <c r="I6" i="25"/>
  <c r="D6" i="25"/>
  <c r="I5" i="25"/>
  <c r="D5" i="25"/>
  <c r="I4" i="25"/>
  <c r="D4" i="25"/>
  <c r="I3" i="25"/>
  <c r="D3" i="25"/>
  <c r="I2" i="25"/>
  <c r="D2" i="25"/>
  <c r="F13" i="24"/>
  <c r="F12" i="24"/>
  <c r="I11" i="24"/>
  <c r="D11" i="24"/>
  <c r="I10" i="24"/>
  <c r="D10" i="24"/>
  <c r="I9" i="24"/>
  <c r="D9" i="24"/>
  <c r="I8" i="24"/>
  <c r="D8" i="24"/>
  <c r="I7" i="24"/>
  <c r="D7" i="24"/>
  <c r="I6" i="24"/>
  <c r="D6" i="24"/>
  <c r="I5" i="24"/>
  <c r="D5" i="24"/>
  <c r="I4" i="24"/>
  <c r="D4" i="24"/>
  <c r="I3" i="24"/>
  <c r="D3" i="24"/>
  <c r="I2" i="24"/>
  <c r="D2" i="24"/>
  <c r="F17" i="23"/>
  <c r="F16" i="23"/>
  <c r="I15" i="23"/>
  <c r="D15" i="23"/>
  <c r="I14" i="23"/>
  <c r="D14" i="23"/>
  <c r="I13" i="23"/>
  <c r="D13" i="23"/>
  <c r="I12" i="23"/>
  <c r="D12" i="23"/>
  <c r="I11" i="23"/>
  <c r="D11" i="23"/>
  <c r="I10" i="23"/>
  <c r="D10" i="23"/>
  <c r="I9" i="23"/>
  <c r="D9" i="23"/>
  <c r="I8" i="23"/>
  <c r="D8" i="23"/>
  <c r="I7" i="23"/>
  <c r="D7" i="23"/>
  <c r="I6" i="23"/>
  <c r="D6" i="23"/>
  <c r="I5" i="23"/>
  <c r="D5" i="23"/>
  <c r="I4" i="23"/>
  <c r="D4" i="23"/>
  <c r="I3" i="23"/>
  <c r="D3" i="23"/>
  <c r="I2" i="23"/>
  <c r="D2" i="23"/>
  <c r="F25" i="22"/>
  <c r="F24" i="22"/>
  <c r="H23" i="22"/>
  <c r="D23" i="22"/>
  <c r="H22" i="22"/>
  <c r="D22" i="22"/>
  <c r="H21" i="22"/>
  <c r="D21" i="22"/>
  <c r="H20" i="22"/>
  <c r="D20" i="22"/>
  <c r="H19" i="22"/>
  <c r="D19" i="22"/>
  <c r="H18" i="22"/>
  <c r="D18" i="22"/>
  <c r="H17" i="22"/>
  <c r="D17" i="22"/>
  <c r="H16" i="22"/>
  <c r="D16" i="22"/>
  <c r="H15" i="22"/>
  <c r="D15" i="22"/>
  <c r="H14" i="22"/>
  <c r="D14" i="22"/>
  <c r="H13" i="22"/>
  <c r="D13" i="22"/>
  <c r="H12" i="22"/>
  <c r="D12" i="22"/>
  <c r="H11" i="22"/>
  <c r="D11" i="22"/>
  <c r="H10" i="22"/>
  <c r="D10" i="22"/>
  <c r="H9" i="22"/>
  <c r="D9" i="22"/>
  <c r="H8" i="22"/>
  <c r="D8" i="22"/>
  <c r="H7" i="22"/>
  <c r="D7" i="22"/>
  <c r="H6" i="22"/>
  <c r="D6" i="22"/>
  <c r="H5" i="22"/>
  <c r="D5" i="22"/>
  <c r="H4" i="22"/>
  <c r="D4" i="22"/>
  <c r="H3" i="22"/>
  <c r="D3" i="22"/>
  <c r="H2" i="22"/>
  <c r="D2" i="22"/>
  <c r="F29" i="21"/>
  <c r="F28" i="21"/>
  <c r="H27" i="21"/>
  <c r="D27" i="21"/>
  <c r="H26" i="21"/>
  <c r="D26" i="21"/>
  <c r="H25" i="21"/>
  <c r="D25" i="21"/>
  <c r="H24" i="21"/>
  <c r="D24" i="21"/>
  <c r="H23" i="21"/>
  <c r="D23" i="21"/>
  <c r="H22" i="21"/>
  <c r="D22" i="21"/>
  <c r="H21" i="21"/>
  <c r="D21" i="21"/>
  <c r="H20" i="21"/>
  <c r="D20" i="21"/>
  <c r="H19" i="21"/>
  <c r="D19" i="21"/>
  <c r="H18" i="21"/>
  <c r="D18" i="21"/>
  <c r="H17" i="21"/>
  <c r="D17" i="21"/>
  <c r="H16" i="21"/>
  <c r="D16" i="21"/>
  <c r="H15" i="21"/>
  <c r="D15" i="21"/>
  <c r="H14" i="21"/>
  <c r="D14" i="21"/>
  <c r="H13" i="21"/>
  <c r="D13" i="21"/>
  <c r="H12" i="21"/>
  <c r="D12" i="21"/>
  <c r="H11" i="21"/>
  <c r="D11" i="21"/>
  <c r="H10" i="21"/>
  <c r="D10" i="21"/>
  <c r="H9" i="21"/>
  <c r="D9" i="21"/>
  <c r="H8" i="21"/>
  <c r="D8" i="21"/>
  <c r="H7" i="21"/>
  <c r="D7" i="21"/>
  <c r="H6" i="21"/>
  <c r="D6" i="21"/>
  <c r="H5" i="21"/>
  <c r="D5" i="21"/>
  <c r="H4" i="21"/>
  <c r="D4" i="21"/>
  <c r="H3" i="21"/>
  <c r="D3" i="21"/>
  <c r="H2" i="21"/>
  <c r="D2" i="21"/>
  <c r="F57" i="19"/>
  <c r="F56" i="19"/>
  <c r="H55" i="19"/>
  <c r="D55" i="19"/>
  <c r="H54" i="19"/>
  <c r="D54" i="19"/>
  <c r="H53" i="19"/>
  <c r="D53" i="19"/>
  <c r="H52" i="19"/>
  <c r="D52" i="19"/>
  <c r="H51" i="19"/>
  <c r="D51" i="19"/>
  <c r="H50" i="19"/>
  <c r="D50" i="19"/>
  <c r="H49" i="19"/>
  <c r="D49" i="19"/>
  <c r="H48" i="19"/>
  <c r="D48" i="19"/>
  <c r="H47" i="19"/>
  <c r="D47" i="19"/>
  <c r="H46" i="19"/>
  <c r="D46" i="19"/>
  <c r="H45" i="19"/>
  <c r="D45" i="19"/>
  <c r="H44" i="19"/>
  <c r="D44" i="19"/>
  <c r="H43" i="19"/>
  <c r="D43" i="19"/>
  <c r="H42" i="19"/>
  <c r="D42" i="19"/>
  <c r="H41" i="19"/>
  <c r="D41" i="19"/>
  <c r="H40" i="19"/>
  <c r="D40" i="19"/>
  <c r="H39" i="19"/>
  <c r="D39" i="19"/>
  <c r="H38" i="19"/>
  <c r="D38" i="19"/>
  <c r="H37" i="19"/>
  <c r="D37" i="19"/>
  <c r="H36" i="19"/>
  <c r="D36" i="19"/>
  <c r="H35" i="19"/>
  <c r="D35" i="19"/>
  <c r="H34" i="19"/>
  <c r="D34" i="19"/>
  <c r="H33" i="19"/>
  <c r="D33" i="19"/>
  <c r="H32" i="19"/>
  <c r="D32" i="19"/>
  <c r="H31" i="19"/>
  <c r="D31" i="19"/>
  <c r="H30" i="19"/>
  <c r="D30" i="19"/>
  <c r="H29" i="19"/>
  <c r="D29" i="19"/>
  <c r="H28" i="19"/>
  <c r="D28" i="19"/>
  <c r="H27" i="19"/>
  <c r="D27" i="19"/>
  <c r="H26" i="19"/>
  <c r="D26" i="19"/>
  <c r="H25" i="19"/>
  <c r="D25" i="19"/>
  <c r="H24" i="19"/>
  <c r="D24" i="19"/>
  <c r="H23" i="19"/>
  <c r="D23" i="19"/>
  <c r="H22" i="19"/>
  <c r="D22" i="19"/>
  <c r="H21" i="19"/>
  <c r="D21" i="19"/>
  <c r="H20" i="19"/>
  <c r="D20" i="19"/>
  <c r="H19" i="19"/>
  <c r="D19" i="19"/>
  <c r="H18" i="19"/>
  <c r="D18" i="19"/>
  <c r="H17" i="19"/>
  <c r="D17" i="19"/>
  <c r="H16" i="19"/>
  <c r="D16" i="19"/>
  <c r="H15" i="19"/>
  <c r="D15" i="19"/>
  <c r="H14" i="19"/>
  <c r="D14" i="19"/>
  <c r="H13" i="19"/>
  <c r="D13" i="19"/>
  <c r="H12" i="19"/>
  <c r="D12" i="19"/>
  <c r="H11" i="19"/>
  <c r="D11" i="19"/>
  <c r="H10" i="19"/>
  <c r="D10" i="19"/>
  <c r="H9" i="19"/>
  <c r="D9" i="19"/>
  <c r="H8" i="19"/>
  <c r="D8" i="19"/>
  <c r="H7" i="19"/>
  <c r="D7" i="19"/>
  <c r="H6" i="19"/>
  <c r="D6" i="19"/>
  <c r="H5" i="19"/>
  <c r="D5" i="19"/>
  <c r="H4" i="19"/>
  <c r="D4" i="19"/>
  <c r="H3" i="19"/>
  <c r="D3" i="19"/>
  <c r="H2" i="19"/>
  <c r="D2" i="19"/>
  <c r="F47" i="18"/>
  <c r="F46" i="18"/>
  <c r="H45" i="18"/>
  <c r="D45" i="18"/>
  <c r="H44" i="18"/>
  <c r="D44" i="18"/>
  <c r="H43" i="18"/>
  <c r="D43" i="18"/>
  <c r="H42" i="18"/>
  <c r="D42" i="18"/>
  <c r="H41" i="18"/>
  <c r="D41" i="18"/>
  <c r="H40" i="18"/>
  <c r="D40" i="18"/>
  <c r="H39" i="18"/>
  <c r="D39" i="18"/>
  <c r="H38" i="18"/>
  <c r="D38" i="18"/>
  <c r="H37" i="18"/>
  <c r="D37" i="18"/>
  <c r="H36" i="18"/>
  <c r="D36" i="18"/>
  <c r="H35" i="18"/>
  <c r="D35" i="18"/>
  <c r="H34" i="18"/>
  <c r="D34" i="18"/>
  <c r="H33" i="18"/>
  <c r="D33" i="18"/>
  <c r="H32" i="18"/>
  <c r="D32" i="18"/>
  <c r="H31" i="18"/>
  <c r="D31" i="18"/>
  <c r="H30" i="18"/>
  <c r="D30" i="18"/>
  <c r="H29" i="18"/>
  <c r="D29" i="18"/>
  <c r="H28" i="18"/>
  <c r="D28" i="18"/>
  <c r="H27" i="18"/>
  <c r="D27" i="18"/>
  <c r="H26" i="18"/>
  <c r="D26" i="18"/>
  <c r="H25" i="18"/>
  <c r="D25" i="18"/>
  <c r="H24" i="18"/>
  <c r="D24" i="18"/>
  <c r="H23" i="18"/>
  <c r="D23" i="18"/>
  <c r="H22" i="18"/>
  <c r="D22" i="18"/>
  <c r="H21" i="18"/>
  <c r="D21" i="18"/>
  <c r="H20" i="18"/>
  <c r="D20" i="18"/>
  <c r="H19" i="18"/>
  <c r="D19" i="18"/>
  <c r="H18" i="18"/>
  <c r="D18" i="18"/>
  <c r="H17" i="18"/>
  <c r="D17" i="18"/>
  <c r="H16" i="18"/>
  <c r="D16" i="18"/>
  <c r="H15" i="18"/>
  <c r="D15" i="18"/>
  <c r="H14" i="18"/>
  <c r="D14" i="18"/>
  <c r="H13" i="18"/>
  <c r="D13" i="18"/>
  <c r="H12" i="18"/>
  <c r="D12" i="18"/>
  <c r="H11" i="18"/>
  <c r="D11" i="18"/>
  <c r="H10" i="18"/>
  <c r="D10" i="18"/>
  <c r="H9" i="18"/>
  <c r="D9" i="18"/>
  <c r="H8" i="18"/>
  <c r="D8" i="18"/>
  <c r="H7" i="18"/>
  <c r="D7" i="18"/>
  <c r="H6" i="18"/>
  <c r="D6" i="18"/>
  <c r="H5" i="18"/>
  <c r="D5" i="18"/>
  <c r="H4" i="18"/>
  <c r="D4" i="18"/>
  <c r="H3" i="18"/>
  <c r="D3" i="18"/>
  <c r="H2" i="18"/>
  <c r="D2" i="18"/>
  <c r="F42" i="29"/>
  <c r="F41" i="29"/>
  <c r="H40" i="29"/>
  <c r="D40" i="29"/>
  <c r="H39" i="29"/>
  <c r="D39" i="29"/>
  <c r="H38" i="29"/>
  <c r="D38" i="29"/>
  <c r="H37" i="29"/>
  <c r="D37" i="29"/>
  <c r="H36" i="29"/>
  <c r="D36" i="29"/>
  <c r="H35" i="29"/>
  <c r="D35" i="29"/>
  <c r="H34" i="29"/>
  <c r="D34" i="29"/>
  <c r="H33" i="29"/>
  <c r="D33" i="29"/>
  <c r="H32" i="29"/>
  <c r="D32" i="29"/>
  <c r="H31" i="29"/>
  <c r="D31" i="29"/>
  <c r="H30" i="29"/>
  <c r="D30" i="29"/>
  <c r="H29" i="29"/>
  <c r="D29" i="29"/>
  <c r="H28" i="29"/>
  <c r="D28" i="29"/>
  <c r="H27" i="29"/>
  <c r="D27" i="29"/>
  <c r="H26" i="29"/>
  <c r="D26" i="29"/>
  <c r="H25" i="29"/>
  <c r="D25" i="29"/>
  <c r="H24" i="29"/>
  <c r="D24" i="29"/>
  <c r="H23" i="29"/>
  <c r="D23" i="29"/>
  <c r="H22" i="29"/>
  <c r="D22" i="29"/>
  <c r="H21" i="29"/>
  <c r="D21" i="29"/>
  <c r="H20" i="29"/>
  <c r="D20" i="29"/>
  <c r="H19" i="29"/>
  <c r="D19" i="29"/>
  <c r="H18" i="29"/>
  <c r="D18" i="29"/>
  <c r="H17" i="29"/>
  <c r="D17" i="29"/>
  <c r="H16" i="29"/>
  <c r="D16" i="29"/>
  <c r="H15" i="29"/>
  <c r="D15" i="29"/>
  <c r="H14" i="29"/>
  <c r="D14" i="29"/>
  <c r="H13" i="29"/>
  <c r="D13" i="29"/>
  <c r="H12" i="29"/>
  <c r="D12" i="29"/>
  <c r="H11" i="29"/>
  <c r="D11" i="29"/>
  <c r="H10" i="29"/>
  <c r="D10" i="29"/>
  <c r="H9" i="29"/>
  <c r="D9" i="29"/>
  <c r="H8" i="29"/>
  <c r="D8" i="29"/>
  <c r="H7" i="29"/>
  <c r="D7" i="29"/>
  <c r="H6" i="29"/>
  <c r="D6" i="29"/>
  <c r="H5" i="29"/>
  <c r="D5" i="29"/>
  <c r="H4" i="29"/>
  <c r="D4" i="29"/>
  <c r="H3" i="29"/>
  <c r="D3" i="29"/>
  <c r="H2" i="29"/>
  <c r="D2" i="29"/>
  <c r="F28" i="20"/>
  <c r="F27" i="20"/>
  <c r="H26" i="20"/>
  <c r="D26" i="20"/>
  <c r="H25" i="20"/>
  <c r="D25" i="20"/>
  <c r="H24" i="20"/>
  <c r="D24" i="20"/>
  <c r="H23" i="20"/>
  <c r="D23" i="20"/>
  <c r="H22" i="20"/>
  <c r="D22" i="20"/>
  <c r="H21" i="20"/>
  <c r="D21" i="20"/>
  <c r="H20" i="20"/>
  <c r="D20" i="20"/>
  <c r="H19" i="20"/>
  <c r="D19" i="20"/>
  <c r="H18" i="20"/>
  <c r="D18" i="20"/>
  <c r="H17" i="20"/>
  <c r="D17" i="20"/>
  <c r="H16" i="20"/>
  <c r="D16" i="20"/>
  <c r="H15" i="20"/>
  <c r="D15" i="20"/>
  <c r="H14" i="20"/>
  <c r="D14" i="20"/>
  <c r="H13" i="20"/>
  <c r="D13" i="20"/>
  <c r="H12" i="20"/>
  <c r="D12" i="20"/>
  <c r="H11" i="20"/>
  <c r="D11" i="20"/>
  <c r="H10" i="20"/>
  <c r="D10" i="20"/>
  <c r="H9" i="20"/>
  <c r="D9" i="20"/>
  <c r="H8" i="20"/>
  <c r="D8" i="20"/>
  <c r="H7" i="20"/>
  <c r="D7" i="20"/>
  <c r="H6" i="20"/>
  <c r="D6" i="20"/>
  <c r="H5" i="20"/>
  <c r="D5" i="20"/>
  <c r="H4" i="20"/>
  <c r="D4" i="20"/>
  <c r="H3" i="20"/>
  <c r="D3" i="20"/>
  <c r="H2" i="20"/>
  <c r="D2" i="20"/>
  <c r="F37" i="35"/>
  <c r="F36" i="35"/>
  <c r="H35" i="35"/>
  <c r="D35" i="35"/>
  <c r="H34" i="35"/>
  <c r="D34" i="35"/>
  <c r="H33" i="35"/>
  <c r="D33" i="35"/>
  <c r="H32" i="35"/>
  <c r="D32" i="35"/>
  <c r="H31" i="35"/>
  <c r="D31" i="35"/>
  <c r="H30" i="35"/>
  <c r="D30" i="35"/>
  <c r="H29" i="35"/>
  <c r="D29" i="35"/>
  <c r="H28" i="35"/>
  <c r="D28" i="35"/>
  <c r="H27" i="35"/>
  <c r="D27" i="35"/>
  <c r="H26" i="35"/>
  <c r="D26" i="35"/>
  <c r="H25" i="35"/>
  <c r="D25" i="35"/>
  <c r="H24" i="35"/>
  <c r="D24" i="35"/>
  <c r="H23" i="35"/>
  <c r="D23" i="35"/>
  <c r="H22" i="35"/>
  <c r="D22" i="35"/>
  <c r="H21" i="35"/>
  <c r="D21" i="35"/>
  <c r="H20" i="35"/>
  <c r="D20" i="35"/>
  <c r="H19" i="35"/>
  <c r="D19" i="35"/>
  <c r="H18" i="35"/>
  <c r="D18" i="35"/>
  <c r="H17" i="35"/>
  <c r="D17" i="35"/>
  <c r="H16" i="35"/>
  <c r="D16" i="35"/>
  <c r="H15" i="35"/>
  <c r="D15" i="35"/>
  <c r="H14" i="35"/>
  <c r="D14" i="35"/>
  <c r="H13" i="35"/>
  <c r="D13" i="35"/>
  <c r="H12" i="35"/>
  <c r="D12" i="35"/>
  <c r="H11" i="35"/>
  <c r="D11" i="35"/>
  <c r="H10" i="35"/>
  <c r="D10" i="35"/>
  <c r="H9" i="35"/>
  <c r="D9" i="35"/>
  <c r="H8" i="35"/>
  <c r="D8" i="35"/>
  <c r="H7" i="35"/>
  <c r="D7" i="35"/>
  <c r="H6" i="35"/>
  <c r="D6" i="35"/>
  <c r="H5" i="35"/>
  <c r="D5" i="35"/>
  <c r="H4" i="35"/>
  <c r="D4" i="35"/>
  <c r="H3" i="35"/>
  <c r="D3" i="35"/>
  <c r="H2" i="35"/>
  <c r="D2" i="35"/>
  <c r="F17" i="15"/>
  <c r="F16" i="15"/>
  <c r="H15" i="15"/>
  <c r="D15" i="15"/>
  <c r="H14" i="15"/>
  <c r="D14" i="15"/>
  <c r="H13" i="15"/>
  <c r="D13" i="15"/>
  <c r="H12" i="15"/>
  <c r="D12" i="15"/>
  <c r="H11" i="15"/>
  <c r="D11" i="15"/>
  <c r="H10" i="15"/>
  <c r="D10" i="15"/>
  <c r="H9" i="15"/>
  <c r="D9" i="15"/>
  <c r="H8" i="15"/>
  <c r="D8" i="15"/>
  <c r="H7" i="15"/>
  <c r="D7" i="15"/>
  <c r="H6" i="15"/>
  <c r="D6" i="15"/>
  <c r="H5" i="15"/>
  <c r="D5" i="15"/>
  <c r="H4" i="15"/>
  <c r="D4" i="15"/>
  <c r="H3" i="15"/>
  <c r="D3" i="15"/>
  <c r="H2" i="15"/>
  <c r="D2" i="15"/>
  <c r="F19" i="14"/>
  <c r="F18" i="14"/>
  <c r="H17" i="14"/>
  <c r="D17" i="14"/>
  <c r="H16" i="14"/>
  <c r="D16" i="14"/>
  <c r="H15" i="14"/>
  <c r="D15" i="14"/>
  <c r="H14" i="14"/>
  <c r="D14" i="14"/>
  <c r="H13" i="14"/>
  <c r="D13" i="14"/>
  <c r="H12" i="14"/>
  <c r="D12" i="14"/>
  <c r="H11" i="14"/>
  <c r="D11" i="14"/>
  <c r="H10" i="14"/>
  <c r="D10" i="14"/>
  <c r="H9" i="14"/>
  <c r="D9" i="14"/>
  <c r="H8" i="14"/>
  <c r="D8" i="14"/>
  <c r="H7" i="14"/>
  <c r="D7" i="14"/>
  <c r="H6" i="14"/>
  <c r="D6" i="14"/>
  <c r="H5" i="14"/>
  <c r="D5" i="14"/>
  <c r="H4" i="14"/>
  <c r="D4" i="14"/>
  <c r="H3" i="14"/>
  <c r="D3" i="14"/>
  <c r="H2" i="14"/>
  <c r="D2" i="14"/>
  <c r="F74" i="34"/>
  <c r="F73" i="34"/>
  <c r="H72" i="34"/>
  <c r="D72" i="34"/>
  <c r="H71" i="34"/>
  <c r="D71" i="34"/>
  <c r="H70" i="34"/>
  <c r="D70" i="34"/>
  <c r="H69" i="34"/>
  <c r="D69" i="34"/>
  <c r="H68" i="34"/>
  <c r="D68" i="34"/>
  <c r="H67" i="34"/>
  <c r="D67" i="34"/>
  <c r="H66" i="34"/>
  <c r="D66" i="34"/>
  <c r="H65" i="34"/>
  <c r="D65" i="34"/>
  <c r="H64" i="34"/>
  <c r="D64" i="34"/>
  <c r="H63" i="34"/>
  <c r="D63" i="34"/>
  <c r="H62" i="34"/>
  <c r="D62" i="34"/>
  <c r="H61" i="34"/>
  <c r="D61" i="34"/>
  <c r="H60" i="34"/>
  <c r="D60" i="34"/>
  <c r="H59" i="34"/>
  <c r="D59" i="34"/>
  <c r="H58" i="34"/>
  <c r="D58" i="34"/>
  <c r="H57" i="34"/>
  <c r="D57" i="34"/>
  <c r="H56" i="34"/>
  <c r="D56" i="34"/>
  <c r="H55" i="34"/>
  <c r="D55" i="34"/>
  <c r="H54" i="34"/>
  <c r="D54" i="34"/>
  <c r="H53" i="34"/>
  <c r="D53" i="34"/>
  <c r="H52" i="34"/>
  <c r="D52" i="34"/>
  <c r="H51" i="34"/>
  <c r="D51" i="34"/>
  <c r="H50" i="34"/>
  <c r="D50" i="34"/>
  <c r="H49" i="34"/>
  <c r="D49" i="34"/>
  <c r="H48" i="34"/>
  <c r="D48" i="34"/>
  <c r="H47" i="34"/>
  <c r="D47" i="34"/>
  <c r="H46" i="34"/>
  <c r="D46" i="34"/>
  <c r="H45" i="34"/>
  <c r="D45" i="34"/>
  <c r="H44" i="34"/>
  <c r="D44" i="34"/>
  <c r="H43" i="34"/>
  <c r="D43" i="34"/>
  <c r="H42" i="34"/>
  <c r="D42" i="34"/>
  <c r="H41" i="34"/>
  <c r="D41" i="34"/>
  <c r="H40" i="34"/>
  <c r="D40" i="34"/>
  <c r="H39" i="34"/>
  <c r="D39" i="34"/>
  <c r="H38" i="34"/>
  <c r="D38" i="34"/>
  <c r="H37" i="34"/>
  <c r="D37" i="34"/>
  <c r="H36" i="34"/>
  <c r="D36" i="34"/>
  <c r="H35" i="34"/>
  <c r="D35" i="34"/>
  <c r="H34" i="34"/>
  <c r="D34" i="34"/>
  <c r="H33" i="34"/>
  <c r="D33" i="34"/>
  <c r="H32" i="34"/>
  <c r="D32" i="34"/>
  <c r="H31" i="34"/>
  <c r="D31" i="34"/>
  <c r="H30" i="34"/>
  <c r="D30" i="34"/>
  <c r="H29" i="34"/>
  <c r="D29" i="34"/>
  <c r="H28" i="34"/>
  <c r="D28" i="34"/>
  <c r="H27" i="34"/>
  <c r="D27" i="34"/>
  <c r="H26" i="34"/>
  <c r="D26" i="34"/>
  <c r="H25" i="34"/>
  <c r="D25" i="34"/>
  <c r="H24" i="34"/>
  <c r="D24" i="34"/>
  <c r="H23" i="34"/>
  <c r="D23" i="34"/>
  <c r="H22" i="34"/>
  <c r="D22" i="34"/>
  <c r="H21" i="34"/>
  <c r="D21" i="34"/>
  <c r="H20" i="34"/>
  <c r="D20" i="34"/>
  <c r="H19" i="34"/>
  <c r="D19" i="34"/>
  <c r="H18" i="34"/>
  <c r="D18" i="34"/>
  <c r="H17" i="34"/>
  <c r="D17" i="34"/>
  <c r="H16" i="34"/>
  <c r="D16" i="34"/>
  <c r="H15" i="34"/>
  <c r="D15" i="34"/>
  <c r="H14" i="34"/>
  <c r="D14" i="34"/>
  <c r="H13" i="34"/>
  <c r="D13" i="34"/>
  <c r="H12" i="34"/>
  <c r="D12" i="34"/>
  <c r="H11" i="34"/>
  <c r="D11" i="34"/>
  <c r="H10" i="34"/>
  <c r="D10" i="34"/>
  <c r="H9" i="34"/>
  <c r="D9" i="34"/>
  <c r="H8" i="34"/>
  <c r="D8" i="34"/>
  <c r="H7" i="34"/>
  <c r="D7" i="34"/>
  <c r="H6" i="34"/>
  <c r="D6" i="34"/>
  <c r="H5" i="34"/>
  <c r="D5" i="34"/>
  <c r="H4" i="34"/>
  <c r="D4" i="34"/>
  <c r="H3" i="34"/>
  <c r="D3" i="34"/>
  <c r="H2" i="34"/>
  <c r="D2" i="34"/>
  <c r="F75" i="12"/>
  <c r="F74" i="12"/>
  <c r="H73" i="12"/>
  <c r="D73" i="12"/>
  <c r="H72" i="12"/>
  <c r="D72" i="12"/>
  <c r="H71" i="12"/>
  <c r="D71" i="12"/>
  <c r="H70" i="12"/>
  <c r="D70" i="12"/>
  <c r="H69" i="12"/>
  <c r="D69" i="12"/>
  <c r="H68" i="12"/>
  <c r="D68" i="12"/>
  <c r="H67" i="12"/>
  <c r="D67" i="12"/>
  <c r="H66" i="12"/>
  <c r="D66" i="12"/>
  <c r="H65" i="12"/>
  <c r="D65" i="12"/>
  <c r="H64" i="12"/>
  <c r="D64" i="12"/>
  <c r="H63" i="12"/>
  <c r="D63" i="12"/>
  <c r="H62" i="12"/>
  <c r="D62" i="12"/>
  <c r="H61" i="12"/>
  <c r="D61" i="12"/>
  <c r="H60" i="12"/>
  <c r="D60" i="12"/>
  <c r="H59" i="12"/>
  <c r="D59" i="12"/>
  <c r="H58" i="12"/>
  <c r="D58" i="12"/>
  <c r="H57" i="12"/>
  <c r="D57" i="12"/>
  <c r="H56" i="12"/>
  <c r="D56" i="12"/>
  <c r="H55" i="12"/>
  <c r="D55" i="12"/>
  <c r="H54" i="12"/>
  <c r="D54" i="12"/>
  <c r="H53" i="12"/>
  <c r="D53" i="12"/>
  <c r="H52" i="12"/>
  <c r="D52" i="12"/>
  <c r="H51" i="12"/>
  <c r="D51" i="12"/>
  <c r="H50" i="12"/>
  <c r="D50" i="12"/>
  <c r="H49" i="12"/>
  <c r="D49" i="12"/>
  <c r="H48" i="12"/>
  <c r="D48" i="12"/>
  <c r="H47" i="12"/>
  <c r="D47" i="12"/>
  <c r="H46" i="12"/>
  <c r="D46" i="12"/>
  <c r="H45" i="12"/>
  <c r="D45" i="12"/>
  <c r="H44" i="12"/>
  <c r="D44" i="12"/>
  <c r="H43" i="12"/>
  <c r="D43" i="12"/>
  <c r="H42" i="12"/>
  <c r="D42" i="12"/>
  <c r="H41" i="12"/>
  <c r="D41" i="12"/>
  <c r="H40" i="12"/>
  <c r="D40" i="12"/>
  <c r="H39" i="12"/>
  <c r="D39" i="12"/>
  <c r="H38" i="12"/>
  <c r="D38" i="12"/>
  <c r="H37" i="12"/>
  <c r="D37" i="12"/>
  <c r="H36" i="12"/>
  <c r="D36" i="12"/>
  <c r="H35" i="12"/>
  <c r="D35" i="12"/>
  <c r="H34" i="12"/>
  <c r="D34" i="12"/>
  <c r="H33" i="12"/>
  <c r="D33" i="12"/>
  <c r="H32" i="12"/>
  <c r="D32" i="12"/>
  <c r="H31" i="12"/>
  <c r="D31" i="12"/>
  <c r="H30" i="12"/>
  <c r="D30" i="12"/>
  <c r="H29" i="12"/>
  <c r="D29" i="12"/>
  <c r="H28" i="12"/>
  <c r="D28" i="12"/>
  <c r="H27" i="12"/>
  <c r="D27" i="12"/>
  <c r="H26" i="12"/>
  <c r="D26" i="12"/>
  <c r="H25" i="12"/>
  <c r="D25" i="12"/>
  <c r="H24" i="12"/>
  <c r="D24" i="12"/>
  <c r="H23" i="12"/>
  <c r="D23" i="12"/>
  <c r="H22" i="12"/>
  <c r="D22" i="12"/>
  <c r="H21" i="12"/>
  <c r="D21" i="12"/>
  <c r="H20" i="12"/>
  <c r="D20" i="12"/>
  <c r="H19" i="12"/>
  <c r="D19" i="12"/>
  <c r="H18" i="12"/>
  <c r="D18" i="12"/>
  <c r="H17" i="12"/>
  <c r="D17" i="12"/>
  <c r="H16" i="12"/>
  <c r="D16" i="12"/>
  <c r="H15" i="12"/>
  <c r="D15" i="12"/>
  <c r="H14" i="12"/>
  <c r="D14" i="12"/>
  <c r="H13" i="12"/>
  <c r="D13" i="12"/>
  <c r="H12" i="12"/>
  <c r="D12" i="12"/>
  <c r="H11" i="12"/>
  <c r="D11" i="12"/>
  <c r="H10" i="12"/>
  <c r="D10" i="12"/>
  <c r="H9" i="12"/>
  <c r="D9" i="12"/>
  <c r="H8" i="12"/>
  <c r="D8" i="12"/>
  <c r="H7" i="12"/>
  <c r="D7" i="12"/>
  <c r="H6" i="12"/>
  <c r="D6" i="12"/>
  <c r="H5" i="12"/>
  <c r="D5" i="12"/>
  <c r="H4" i="12"/>
  <c r="D4" i="12"/>
  <c r="H3" i="12"/>
  <c r="D3" i="12"/>
  <c r="H2" i="12"/>
  <c r="D2" i="12"/>
  <c r="F16" i="11"/>
  <c r="F15" i="11"/>
  <c r="H14" i="11"/>
  <c r="D14" i="11"/>
  <c r="H13" i="11"/>
  <c r="D13" i="11"/>
  <c r="H12" i="11"/>
  <c r="D12" i="11"/>
  <c r="H11" i="11"/>
  <c r="D11" i="11"/>
  <c r="H10" i="11"/>
  <c r="D10" i="11"/>
  <c r="H9" i="11"/>
  <c r="D9" i="11"/>
  <c r="H8" i="11"/>
  <c r="D8" i="11"/>
  <c r="H7" i="11"/>
  <c r="D7" i="11"/>
  <c r="H6" i="11"/>
  <c r="D6" i="11"/>
  <c r="H5" i="11"/>
  <c r="D5" i="11"/>
  <c r="H4" i="11"/>
  <c r="D4" i="11"/>
  <c r="H3" i="11"/>
  <c r="D3" i="11"/>
  <c r="H2" i="11"/>
  <c r="D2" i="11"/>
  <c r="F79" i="10"/>
  <c r="F78" i="10"/>
  <c r="H77" i="10"/>
  <c r="D77" i="10"/>
  <c r="H76" i="10"/>
  <c r="D76" i="10"/>
  <c r="H75" i="10"/>
  <c r="D75" i="10"/>
  <c r="H74" i="10"/>
  <c r="D74" i="10"/>
  <c r="H73" i="10"/>
  <c r="D73" i="10"/>
  <c r="H72" i="10"/>
  <c r="D72" i="10"/>
  <c r="H71" i="10"/>
  <c r="D71" i="10"/>
  <c r="H70" i="10"/>
  <c r="D70" i="10"/>
  <c r="H69" i="10"/>
  <c r="D69" i="10"/>
  <c r="H68" i="10"/>
  <c r="D68" i="10"/>
  <c r="H67" i="10"/>
  <c r="D67" i="10"/>
  <c r="H66" i="10"/>
  <c r="D66" i="10"/>
  <c r="H65" i="10"/>
  <c r="D65" i="10"/>
  <c r="H64" i="10"/>
  <c r="D64" i="10"/>
  <c r="H63" i="10"/>
  <c r="D63" i="10"/>
  <c r="H62" i="10"/>
  <c r="D62" i="10"/>
  <c r="H61" i="10"/>
  <c r="D61" i="10"/>
  <c r="H60" i="10"/>
  <c r="D60" i="10"/>
  <c r="H59" i="10"/>
  <c r="D59" i="10"/>
  <c r="H58" i="10"/>
  <c r="D58" i="10"/>
  <c r="H57" i="10"/>
  <c r="D57" i="10"/>
  <c r="H56" i="10"/>
  <c r="D56" i="10"/>
  <c r="H55" i="10"/>
  <c r="D55" i="10"/>
  <c r="H54" i="10"/>
  <c r="D54" i="10"/>
  <c r="H53" i="10"/>
  <c r="D53" i="10"/>
  <c r="H52" i="10"/>
  <c r="D52" i="10"/>
  <c r="H51" i="10"/>
  <c r="D51" i="10"/>
  <c r="H50" i="10"/>
  <c r="D50" i="10"/>
  <c r="H49" i="10"/>
  <c r="D49" i="10"/>
  <c r="H48" i="10"/>
  <c r="D48" i="10"/>
  <c r="H47" i="10"/>
  <c r="D47" i="10"/>
  <c r="H46" i="10"/>
  <c r="D46" i="10"/>
  <c r="H45" i="10"/>
  <c r="D45" i="10"/>
  <c r="H44" i="10"/>
  <c r="D44" i="10"/>
  <c r="H43" i="10"/>
  <c r="D43" i="10"/>
  <c r="H42" i="10"/>
  <c r="D42" i="10"/>
  <c r="H41" i="10"/>
  <c r="D41" i="10"/>
  <c r="H40" i="10"/>
  <c r="D40" i="10"/>
  <c r="H39" i="10"/>
  <c r="D39" i="10"/>
  <c r="H38" i="10"/>
  <c r="D38" i="10"/>
  <c r="H37" i="10"/>
  <c r="D37" i="10"/>
  <c r="H36" i="10"/>
  <c r="D36" i="10"/>
  <c r="H35" i="10"/>
  <c r="D35" i="10"/>
  <c r="H34" i="10"/>
  <c r="D34" i="10"/>
  <c r="H33" i="10"/>
  <c r="D33" i="10"/>
  <c r="H32" i="10"/>
  <c r="D32" i="10"/>
  <c r="H31" i="10"/>
  <c r="D31" i="10"/>
  <c r="H30" i="10"/>
  <c r="D30" i="10"/>
  <c r="H29" i="10"/>
  <c r="D29" i="10"/>
  <c r="H28" i="10"/>
  <c r="D28" i="10"/>
  <c r="H27" i="10"/>
  <c r="D27" i="10"/>
  <c r="H26" i="10"/>
  <c r="D26" i="10"/>
  <c r="H25" i="10"/>
  <c r="D25" i="10"/>
  <c r="H24" i="10"/>
  <c r="D24" i="10"/>
  <c r="H23" i="10"/>
  <c r="D23" i="10"/>
  <c r="H22" i="10"/>
  <c r="D22" i="10"/>
  <c r="H21" i="10"/>
  <c r="D21" i="10"/>
  <c r="H20" i="10"/>
  <c r="D20" i="10"/>
  <c r="H19" i="10"/>
  <c r="D19" i="10"/>
  <c r="H18" i="10"/>
  <c r="D18" i="10"/>
  <c r="H17" i="10"/>
  <c r="D17" i="10"/>
  <c r="H16" i="10"/>
  <c r="D16" i="10"/>
  <c r="H15" i="10"/>
  <c r="D15" i="10"/>
  <c r="H14" i="10"/>
  <c r="D14" i="10"/>
  <c r="H13" i="10"/>
  <c r="D13" i="10"/>
  <c r="H12" i="10"/>
  <c r="D12" i="10"/>
  <c r="H11" i="10"/>
  <c r="D11" i="10"/>
  <c r="H10" i="10"/>
  <c r="D10" i="10"/>
  <c r="H9" i="10"/>
  <c r="D9" i="10"/>
  <c r="H8" i="10"/>
  <c r="D8" i="10"/>
  <c r="H7" i="10"/>
  <c r="D7" i="10"/>
  <c r="H6" i="10"/>
  <c r="D6" i="10"/>
  <c r="H5" i="10"/>
  <c r="D5" i="10"/>
  <c r="H4" i="10"/>
  <c r="D4" i="10"/>
  <c r="H3" i="10"/>
  <c r="D3" i="10"/>
  <c r="H2" i="10"/>
  <c r="D2" i="10"/>
  <c r="F12" i="9"/>
  <c r="F11" i="9"/>
  <c r="H10" i="9"/>
  <c r="D10" i="9"/>
  <c r="H9" i="9"/>
  <c r="D9" i="9"/>
  <c r="H8" i="9"/>
  <c r="D8" i="9"/>
  <c r="H7" i="9"/>
  <c r="D7" i="9"/>
  <c r="H6" i="9"/>
  <c r="D6" i="9"/>
  <c r="H5" i="9"/>
  <c r="D5" i="9"/>
  <c r="H4" i="9"/>
  <c r="D4" i="9"/>
  <c r="H3" i="9"/>
  <c r="D3" i="9"/>
  <c r="H2" i="9"/>
  <c r="D2" i="9"/>
  <c r="F27" i="38"/>
  <c r="F26" i="38"/>
  <c r="H25" i="38"/>
  <c r="D25" i="38"/>
  <c r="H24" i="38"/>
  <c r="D24" i="38"/>
  <c r="H23" i="38"/>
  <c r="D23" i="38"/>
  <c r="H22" i="38"/>
  <c r="D22" i="38"/>
  <c r="H21" i="38"/>
  <c r="D21" i="38"/>
  <c r="H20" i="38"/>
  <c r="D20" i="38"/>
  <c r="H19" i="38"/>
  <c r="D19" i="38"/>
  <c r="H18" i="38"/>
  <c r="D18" i="38"/>
  <c r="H17" i="38"/>
  <c r="D17" i="38"/>
  <c r="H16" i="38"/>
  <c r="D16" i="38"/>
  <c r="H15" i="38"/>
  <c r="D15" i="38"/>
  <c r="H14" i="38"/>
  <c r="D14" i="38"/>
  <c r="H13" i="38"/>
  <c r="D13" i="38"/>
  <c r="H12" i="38"/>
  <c r="D12" i="38"/>
  <c r="H11" i="38"/>
  <c r="D11" i="38"/>
  <c r="H10" i="38"/>
  <c r="D10" i="38"/>
  <c r="H9" i="38"/>
  <c r="D9" i="38"/>
  <c r="H8" i="38"/>
  <c r="D8" i="38"/>
  <c r="H7" i="38"/>
  <c r="D7" i="38"/>
  <c r="H6" i="38"/>
  <c r="D6" i="38"/>
  <c r="H5" i="38"/>
  <c r="D5" i="38"/>
  <c r="H4" i="38"/>
  <c r="D4" i="38"/>
  <c r="H3" i="38"/>
  <c r="D3" i="38"/>
  <c r="H2" i="38"/>
  <c r="D2" i="38"/>
  <c r="F49" i="8"/>
  <c r="F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F178" i="7"/>
  <c r="F177" i="7"/>
  <c r="H176" i="7"/>
  <c r="D176" i="7"/>
  <c r="H175" i="7"/>
  <c r="D175" i="7"/>
  <c r="H174" i="7"/>
  <c r="D174" i="7"/>
  <c r="H173" i="7"/>
  <c r="D173" i="7"/>
  <c r="H172" i="7"/>
  <c r="D172" i="7"/>
  <c r="H171" i="7"/>
  <c r="D171" i="7"/>
  <c r="H170" i="7"/>
  <c r="D170" i="7"/>
  <c r="H169" i="7"/>
  <c r="D169" i="7"/>
  <c r="H168" i="7"/>
  <c r="D168" i="7"/>
  <c r="H167" i="7"/>
  <c r="D167" i="7"/>
  <c r="H166" i="7"/>
  <c r="D166" i="7"/>
  <c r="H165" i="7"/>
  <c r="D165" i="7"/>
  <c r="H164" i="7"/>
  <c r="D164" i="7"/>
  <c r="H163" i="7"/>
  <c r="D163" i="7"/>
  <c r="H162" i="7"/>
  <c r="D162" i="7"/>
  <c r="H161" i="7"/>
  <c r="D161" i="7"/>
  <c r="H160" i="7"/>
  <c r="D160" i="7"/>
  <c r="H159" i="7"/>
  <c r="D159" i="7"/>
  <c r="H158" i="7"/>
  <c r="D158" i="7"/>
  <c r="H157" i="7"/>
  <c r="D157" i="7"/>
  <c r="H156" i="7"/>
  <c r="D156" i="7"/>
  <c r="H155" i="7"/>
  <c r="D155" i="7"/>
  <c r="H154" i="7"/>
  <c r="D154" i="7"/>
  <c r="H153" i="7"/>
  <c r="D153" i="7"/>
  <c r="H152" i="7"/>
  <c r="D152" i="7"/>
  <c r="H151" i="7"/>
  <c r="D151" i="7"/>
  <c r="H150" i="7"/>
  <c r="D150" i="7"/>
  <c r="H149" i="7"/>
  <c r="D149" i="7"/>
  <c r="H148" i="7"/>
  <c r="D148" i="7"/>
  <c r="H147" i="7"/>
  <c r="D147" i="7"/>
  <c r="H146" i="7"/>
  <c r="D146" i="7"/>
  <c r="H145" i="7"/>
  <c r="D145" i="7"/>
  <c r="H144" i="7"/>
  <c r="D144" i="7"/>
  <c r="H143" i="7"/>
  <c r="D143" i="7"/>
  <c r="H142" i="7"/>
  <c r="D142" i="7"/>
  <c r="H141" i="7"/>
  <c r="D141" i="7"/>
  <c r="H140" i="7"/>
  <c r="D140" i="7"/>
  <c r="H139" i="7"/>
  <c r="D139" i="7"/>
  <c r="H138" i="7"/>
  <c r="D138" i="7"/>
  <c r="H137" i="7"/>
  <c r="D137" i="7"/>
  <c r="H136" i="7"/>
  <c r="D136" i="7"/>
  <c r="H135" i="7"/>
  <c r="D135" i="7"/>
  <c r="H134" i="7"/>
  <c r="D134" i="7"/>
  <c r="H133" i="7"/>
  <c r="D133" i="7"/>
  <c r="H132" i="7"/>
  <c r="D132" i="7"/>
  <c r="H131" i="7"/>
  <c r="D131" i="7"/>
  <c r="H130" i="7"/>
  <c r="D130" i="7"/>
  <c r="H129" i="7"/>
  <c r="D129" i="7"/>
  <c r="H128" i="7"/>
  <c r="D128" i="7"/>
  <c r="H127" i="7"/>
  <c r="D127" i="7"/>
  <c r="H126" i="7"/>
  <c r="D126" i="7"/>
  <c r="H125" i="7"/>
  <c r="D125" i="7"/>
  <c r="H124" i="7"/>
  <c r="D124" i="7"/>
  <c r="H123" i="7"/>
  <c r="D123" i="7"/>
  <c r="H122" i="7"/>
  <c r="D122" i="7"/>
  <c r="H121" i="7"/>
  <c r="D121" i="7"/>
  <c r="H120" i="7"/>
  <c r="D120" i="7"/>
  <c r="H119" i="7"/>
  <c r="D119" i="7"/>
  <c r="H118" i="7"/>
  <c r="D118" i="7"/>
  <c r="H117" i="7"/>
  <c r="D117" i="7"/>
  <c r="H116" i="7"/>
  <c r="D116" i="7"/>
  <c r="H115" i="7"/>
  <c r="D115" i="7"/>
  <c r="H114" i="7"/>
  <c r="D114" i="7"/>
  <c r="H113" i="7"/>
  <c r="D113" i="7"/>
  <c r="H112" i="7"/>
  <c r="D112" i="7"/>
  <c r="H111" i="7"/>
  <c r="D111" i="7"/>
  <c r="H110" i="7"/>
  <c r="D110" i="7"/>
  <c r="H109" i="7"/>
  <c r="D109" i="7"/>
  <c r="H108" i="7"/>
  <c r="D108" i="7"/>
  <c r="H107" i="7"/>
  <c r="D107" i="7"/>
  <c r="H106" i="7"/>
  <c r="D106" i="7"/>
  <c r="H105" i="7"/>
  <c r="D105" i="7"/>
  <c r="H104" i="7"/>
  <c r="D104" i="7"/>
  <c r="H103" i="7"/>
  <c r="D103" i="7"/>
  <c r="H102" i="7"/>
  <c r="D102" i="7"/>
  <c r="H101" i="7"/>
  <c r="D101" i="7"/>
  <c r="H100" i="7"/>
  <c r="D100" i="7"/>
  <c r="H99" i="7"/>
  <c r="D99" i="7"/>
  <c r="H98" i="7"/>
  <c r="D98" i="7"/>
  <c r="H97" i="7"/>
  <c r="D97" i="7"/>
  <c r="H96" i="7"/>
  <c r="D96" i="7"/>
  <c r="H95" i="7"/>
  <c r="D95" i="7"/>
  <c r="H94" i="7"/>
  <c r="D94" i="7"/>
  <c r="H93" i="7"/>
  <c r="D93" i="7"/>
  <c r="H92" i="7"/>
  <c r="D92" i="7"/>
  <c r="H91" i="7"/>
  <c r="D91" i="7"/>
  <c r="H90" i="7"/>
  <c r="D90" i="7"/>
  <c r="H89" i="7"/>
  <c r="D89" i="7"/>
  <c r="H88" i="7"/>
  <c r="D88" i="7"/>
  <c r="H87" i="7"/>
  <c r="D87" i="7"/>
  <c r="H86" i="7"/>
  <c r="D86" i="7"/>
  <c r="H85" i="7"/>
  <c r="D85" i="7"/>
  <c r="H84" i="7"/>
  <c r="D84" i="7"/>
  <c r="H83" i="7"/>
  <c r="D83" i="7"/>
  <c r="H82" i="7"/>
  <c r="D82" i="7"/>
  <c r="H81" i="7"/>
  <c r="D81" i="7"/>
  <c r="H80" i="7"/>
  <c r="D80" i="7"/>
  <c r="H79" i="7"/>
  <c r="D79" i="7"/>
  <c r="H78" i="7"/>
  <c r="D78" i="7"/>
  <c r="H77" i="7"/>
  <c r="D77" i="7"/>
  <c r="H76" i="7"/>
  <c r="D76" i="7"/>
  <c r="H75" i="7"/>
  <c r="D75" i="7"/>
  <c r="H74" i="7"/>
  <c r="D74" i="7"/>
  <c r="H73" i="7"/>
  <c r="D73" i="7"/>
  <c r="H72" i="7"/>
  <c r="D72" i="7"/>
  <c r="H71" i="7"/>
  <c r="D71" i="7"/>
  <c r="H70" i="7"/>
  <c r="D70" i="7"/>
  <c r="H69" i="7"/>
  <c r="D69" i="7"/>
  <c r="H68" i="7"/>
  <c r="D68" i="7"/>
  <c r="H67" i="7"/>
  <c r="D67" i="7"/>
  <c r="H66" i="7"/>
  <c r="D66" i="7"/>
  <c r="H65" i="7"/>
  <c r="D65" i="7"/>
  <c r="H64" i="7"/>
  <c r="D64" i="7"/>
  <c r="H63" i="7"/>
  <c r="D63" i="7"/>
  <c r="H62" i="7"/>
  <c r="D62" i="7"/>
  <c r="H61" i="7"/>
  <c r="D61" i="7"/>
  <c r="H60" i="7"/>
  <c r="D60" i="7"/>
  <c r="H59" i="7"/>
  <c r="D59" i="7"/>
  <c r="H58" i="7"/>
  <c r="D58" i="7"/>
  <c r="H57" i="7"/>
  <c r="D57" i="7"/>
  <c r="H56" i="7"/>
  <c r="D56" i="7"/>
  <c r="H55" i="7"/>
  <c r="D55" i="7"/>
  <c r="H54" i="7"/>
  <c r="D54" i="7"/>
  <c r="H53" i="7"/>
  <c r="D53" i="7"/>
  <c r="H52" i="7"/>
  <c r="D52" i="7"/>
  <c r="H51" i="7"/>
  <c r="D51" i="7"/>
  <c r="H50" i="7"/>
  <c r="D50" i="7"/>
  <c r="H49" i="7"/>
  <c r="D49" i="7"/>
  <c r="H48" i="7"/>
  <c r="D48" i="7"/>
  <c r="H47" i="7"/>
  <c r="D47" i="7"/>
  <c r="H46" i="7"/>
  <c r="D46" i="7"/>
  <c r="H45" i="7"/>
  <c r="D45" i="7"/>
  <c r="H44" i="7"/>
  <c r="D44" i="7"/>
  <c r="H43" i="7"/>
  <c r="D43" i="7"/>
  <c r="H42" i="7"/>
  <c r="D42" i="7"/>
  <c r="H41" i="7"/>
  <c r="D41" i="7"/>
  <c r="H40" i="7"/>
  <c r="D40" i="7"/>
  <c r="H39" i="7"/>
  <c r="D39" i="7"/>
  <c r="H38" i="7"/>
  <c r="D38" i="7"/>
  <c r="H37" i="7"/>
  <c r="D37" i="7"/>
  <c r="H36" i="7"/>
  <c r="D36" i="7"/>
  <c r="H35" i="7"/>
  <c r="D35" i="7"/>
  <c r="H34" i="7"/>
  <c r="D34" i="7"/>
  <c r="H33" i="7"/>
  <c r="D33" i="7"/>
  <c r="H32" i="7"/>
  <c r="D32" i="7"/>
  <c r="H31" i="7"/>
  <c r="D31" i="7"/>
  <c r="H30" i="7"/>
  <c r="D30" i="7"/>
  <c r="H29" i="7"/>
  <c r="D29" i="7"/>
  <c r="H28" i="7"/>
  <c r="D28" i="7"/>
  <c r="H27" i="7"/>
  <c r="D27" i="7"/>
  <c r="H26" i="7"/>
  <c r="D26" i="7"/>
  <c r="H25" i="7"/>
  <c r="D25" i="7"/>
  <c r="H24" i="7"/>
  <c r="D24" i="7"/>
  <c r="H23" i="7"/>
  <c r="D23" i="7"/>
  <c r="H22" i="7"/>
  <c r="D22" i="7"/>
  <c r="H21" i="7"/>
  <c r="D21" i="7"/>
  <c r="H20" i="7"/>
  <c r="D20" i="7"/>
  <c r="H19" i="7"/>
  <c r="D19" i="7"/>
  <c r="H18" i="7"/>
  <c r="D18" i="7"/>
  <c r="H17" i="7"/>
  <c r="D17" i="7"/>
  <c r="H16" i="7"/>
  <c r="D16" i="7"/>
  <c r="H15" i="7"/>
  <c r="D15" i="7"/>
  <c r="H14" i="7"/>
  <c r="D14" i="7"/>
  <c r="H13" i="7"/>
  <c r="D13" i="7"/>
  <c r="H12" i="7"/>
  <c r="D12" i="7"/>
  <c r="H11" i="7"/>
  <c r="D11" i="7"/>
  <c r="H10" i="7"/>
  <c r="D10" i="7"/>
  <c r="H9" i="7"/>
  <c r="D9" i="7"/>
  <c r="H8" i="7"/>
  <c r="D8" i="7"/>
  <c r="H7" i="7"/>
  <c r="D7" i="7"/>
  <c r="H6" i="7"/>
  <c r="D6" i="7"/>
  <c r="H5" i="7"/>
  <c r="D5" i="7"/>
  <c r="H4" i="7"/>
  <c r="D4" i="7"/>
  <c r="H3" i="7"/>
  <c r="D3" i="7"/>
  <c r="H2" i="7"/>
  <c r="D2" i="7"/>
  <c r="F49" i="6"/>
  <c r="F48" i="6"/>
  <c r="G47" i="6"/>
  <c r="D47" i="6"/>
  <c r="G46" i="6"/>
  <c r="D46" i="6"/>
  <c r="G45" i="6"/>
  <c r="D45" i="6"/>
  <c r="G44" i="6"/>
  <c r="D44" i="6"/>
  <c r="G43" i="6"/>
  <c r="D43" i="6"/>
  <c r="G42" i="6"/>
  <c r="D42" i="6"/>
  <c r="G41" i="6"/>
  <c r="D41" i="6"/>
  <c r="G40" i="6"/>
  <c r="D40" i="6"/>
  <c r="G39" i="6"/>
  <c r="D39" i="6"/>
  <c r="G38" i="6"/>
  <c r="D38" i="6"/>
  <c r="G37" i="6"/>
  <c r="D37" i="6"/>
  <c r="G36" i="6"/>
  <c r="D36" i="6"/>
  <c r="G35" i="6"/>
  <c r="D35" i="6"/>
  <c r="G34" i="6"/>
  <c r="D34" i="6"/>
  <c r="G33" i="6"/>
  <c r="D33" i="6"/>
  <c r="G32" i="6"/>
  <c r="D32" i="6"/>
  <c r="G31" i="6"/>
  <c r="D31" i="6"/>
  <c r="G30" i="6"/>
  <c r="D30" i="6"/>
  <c r="G29" i="6"/>
  <c r="D29" i="6"/>
  <c r="G28" i="6"/>
  <c r="D28" i="6"/>
  <c r="G27" i="6"/>
  <c r="D27" i="6"/>
  <c r="G26" i="6"/>
  <c r="D26" i="6"/>
  <c r="G25" i="6"/>
  <c r="D25" i="6"/>
  <c r="G24" i="6"/>
  <c r="D24" i="6"/>
  <c r="G23" i="6"/>
  <c r="D23" i="6"/>
  <c r="G22" i="6"/>
  <c r="D22" i="6"/>
  <c r="G21" i="6"/>
  <c r="D21" i="6"/>
  <c r="G20" i="6"/>
  <c r="D20" i="6"/>
  <c r="G19" i="6"/>
  <c r="D19" i="6"/>
  <c r="G18" i="6"/>
  <c r="D18" i="6"/>
  <c r="G17" i="6"/>
  <c r="D17" i="6"/>
  <c r="G16" i="6"/>
  <c r="D16" i="6"/>
  <c r="G15" i="6"/>
  <c r="D15" i="6"/>
  <c r="G14" i="6"/>
  <c r="D14" i="6"/>
  <c r="G13" i="6"/>
  <c r="D13" i="6"/>
  <c r="G12" i="6"/>
  <c r="D12" i="6"/>
  <c r="G11" i="6"/>
  <c r="D11" i="6"/>
  <c r="G10" i="6"/>
  <c r="D10" i="6"/>
  <c r="G9" i="6"/>
  <c r="D9" i="6"/>
  <c r="G8" i="6"/>
  <c r="D8" i="6"/>
  <c r="G7" i="6"/>
  <c r="D7" i="6"/>
  <c r="G6" i="6"/>
  <c r="D6" i="6"/>
  <c r="G5" i="6"/>
  <c r="D5" i="6"/>
  <c r="G4" i="6"/>
  <c r="D4" i="6"/>
  <c r="G3" i="6"/>
  <c r="D3" i="6"/>
  <c r="G2" i="6"/>
  <c r="D2" i="6"/>
  <c r="F86" i="3"/>
  <c r="F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5" i="3"/>
  <c r="D5" i="3"/>
  <c r="H4" i="3"/>
  <c r="D4" i="3"/>
  <c r="H3" i="3"/>
  <c r="D3" i="3"/>
  <c r="H2" i="3"/>
  <c r="D2" i="3"/>
  <c r="F19" i="2"/>
  <c r="F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H2" i="2"/>
  <c r="D2" i="2"/>
  <c r="F28" i="48"/>
  <c r="H28" i="48" s="1"/>
  <c r="F27" i="48"/>
  <c r="H27" i="48" s="1"/>
  <c r="F26" i="48"/>
  <c r="H26" i="48" s="1"/>
  <c r="F25" i="48"/>
  <c r="H25" i="48" s="1"/>
  <c r="H24" i="48"/>
  <c r="F24" i="48"/>
  <c r="F23" i="48"/>
  <c r="H23" i="48" s="1"/>
  <c r="F22" i="48"/>
  <c r="H22" i="48" s="1"/>
  <c r="F21" i="48"/>
  <c r="H21" i="48" s="1"/>
  <c r="H20" i="48"/>
  <c r="F20" i="48"/>
  <c r="F19" i="48"/>
  <c r="H19" i="48" s="1"/>
  <c r="F18" i="48"/>
  <c r="H18" i="48" s="1"/>
  <c r="F17" i="48"/>
  <c r="H17" i="48" s="1"/>
  <c r="H16" i="48"/>
  <c r="F16" i="48"/>
  <c r="F15" i="48"/>
  <c r="H15" i="48" s="1"/>
  <c r="F14" i="48"/>
  <c r="H14" i="48" s="1"/>
  <c r="F13" i="48"/>
  <c r="H13" i="48" s="1"/>
  <c r="H12" i="48"/>
  <c r="F12" i="48"/>
  <c r="F11" i="48"/>
  <c r="H11" i="48" s="1"/>
  <c r="F10" i="48"/>
  <c r="H10" i="48" s="1"/>
  <c r="F9" i="48"/>
  <c r="H9" i="48" s="1"/>
  <c r="H8" i="48"/>
  <c r="F8" i="48"/>
  <c r="F7" i="48"/>
  <c r="H7" i="48" s="1"/>
  <c r="F6" i="48"/>
  <c r="H6" i="48" s="1"/>
  <c r="F5" i="48"/>
  <c r="H5" i="48" s="1"/>
  <c r="H4" i="48"/>
  <c r="F4" i="48"/>
  <c r="F3" i="48"/>
  <c r="H3" i="48" s="1"/>
  <c r="F2" i="48"/>
  <c r="H2" i="48" s="1"/>
</calcChain>
</file>

<file path=xl/sharedStrings.xml><?xml version="1.0" encoding="utf-8"?>
<sst xmlns="http://schemas.openxmlformats.org/spreadsheetml/2006/main" count="3793" uniqueCount="137">
  <si>
    <t>Location/
core name</t>
  </si>
  <si>
    <t>Study</t>
  </si>
  <si>
    <t>Proxy Type</t>
  </si>
  <si>
    <t>Record Start (Ka BP)</t>
  </si>
  <si>
    <t>Record End (ka BP)</t>
  </si>
  <si>
    <t>Duration of record (ka)</t>
  </si>
  <si>
    <t>Number Time Steps</t>
  </si>
  <si>
    <t>Mean Duration Time Steps (ka)</t>
  </si>
  <si>
    <t>Location</t>
  </si>
  <si>
    <t>Paleolatitude</t>
  </si>
  <si>
    <t>IQR</t>
  </si>
  <si>
    <t>Midpoint
(69-63/200)</t>
  </si>
  <si>
    <t>Temperature variability</t>
  </si>
  <si>
    <t>Midpoint (ka)</t>
  </si>
  <si>
    <t>Midpoint
(68-64/150)</t>
  </si>
  <si>
    <t>Midpoint
(67.2-64.8/100)</t>
  </si>
  <si>
    <t>Midpoint
(67.2-64.8/50)</t>
  </si>
  <si>
    <t>z score</t>
  </si>
  <si>
    <t>Age (ka)</t>
  </si>
  <si>
    <t>Mean z-score</t>
  </si>
  <si>
    <t>Site</t>
  </si>
  <si>
    <t>Age (Ma)</t>
  </si>
  <si>
    <t>Temperature (°C)</t>
  </si>
  <si>
    <t>∆Temperature</t>
  </si>
  <si>
    <t>D'Hondt and Lindiger (1994)</t>
  </si>
  <si>
    <t>DSDP 528</t>
  </si>
  <si>
    <t>Benthic</t>
  </si>
  <si>
    <t>z-score</t>
  </si>
  <si>
    <t>Stott and Kennett (1990)</t>
  </si>
  <si>
    <t>ODP 690</t>
  </si>
  <si>
    <t>Planktonic</t>
  </si>
  <si>
    <t xml:space="preserve">                 </t>
  </si>
  <si>
    <t>Wilf et al. (2003)</t>
  </si>
  <si>
    <t xml:space="preserve">ODP 690 </t>
  </si>
  <si>
    <t>Alegret and Thomas (2013)</t>
  </si>
  <si>
    <t>Westerhold et al. (2011)</t>
  </si>
  <si>
    <t>ODP 1209</t>
  </si>
  <si>
    <t>Esmeray-Senlet et al. (2015)/Olsson et al. (2001)</t>
  </si>
  <si>
    <t>Haymana Basin</t>
  </si>
  <si>
    <t xml:space="preserve">Zachos et al. (1985) </t>
  </si>
  <si>
    <t>DSDP 577</t>
  </si>
  <si>
    <t>Quillévéré et al. (2008)</t>
  </si>
  <si>
    <t>ODP 1049</t>
  </si>
  <si>
    <t>Berggren and Norris (1997)</t>
  </si>
  <si>
    <t>DSDP 384</t>
  </si>
  <si>
    <t>Li and Keller (1998)</t>
  </si>
  <si>
    <t>DSDP 525</t>
  </si>
  <si>
    <t>Birch et al. (2016)</t>
  </si>
  <si>
    <t>ODP 1262</t>
  </si>
  <si>
    <t>Woelders et al. (2018)</t>
  </si>
  <si>
    <t>Bass River</t>
  </si>
  <si>
    <t>TEX86</t>
  </si>
  <si>
    <t>Mg/Ca</t>
  </si>
  <si>
    <t>Vellekoop et al. (2016)</t>
  </si>
  <si>
    <t>Meirs Farm</t>
  </si>
  <si>
    <t>Search Farm</t>
  </si>
  <si>
    <t>Fort Monmouth 3</t>
  </si>
  <si>
    <t>Vellekoop et al. (2014)</t>
  </si>
  <si>
    <t>Brazos River</t>
  </si>
  <si>
    <t>Woelders et al. (2017)</t>
  </si>
  <si>
    <t xml:space="preserve">Bajada del Jagüel </t>
  </si>
  <si>
    <t>Dworkin et al. (2005)</t>
  </si>
  <si>
    <t>west Texas</t>
  </si>
  <si>
    <t>Paleosol d18O data</t>
  </si>
  <si>
    <t>Temperature (°C)
MAT</t>
  </si>
  <si>
    <t>±MAT</t>
  </si>
  <si>
    <t>Wilf et al., (2003)</t>
  </si>
  <si>
    <t>Williston Basin</t>
  </si>
  <si>
    <t>Leaf margin</t>
  </si>
  <si>
    <t>±Temp</t>
  </si>
  <si>
    <t>Tobin et al. (2014)</t>
  </si>
  <si>
    <t xml:space="preserve">Garfield County </t>
  </si>
  <si>
    <t>Clumped isotope</t>
  </si>
  <si>
    <t>Petersen et al. (2016)</t>
  </si>
  <si>
    <t>Seymour Island</t>
  </si>
  <si>
    <t>Tobin et al. (2012)</t>
  </si>
  <si>
    <t>Bivalve</t>
  </si>
  <si>
    <t>NA (too few in timebin)</t>
  </si>
  <si>
    <t>Gastropod</t>
  </si>
  <si>
    <t>MacLeod et al. (2018)</t>
  </si>
  <si>
    <t>El Kef</t>
  </si>
  <si>
    <t>Phosphate d18O in teeth</t>
  </si>
  <si>
    <t>Zhang et al. (2018)</t>
  </si>
  <si>
    <t>SK-In</t>
  </si>
  <si>
    <t>Benthic δ18O</t>
  </si>
  <si>
    <t>South Atlantic</t>
  </si>
  <si>
    <t>36°S</t>
  </si>
  <si>
    <t>middle (S)</t>
  </si>
  <si>
    <t>Stott and Kennett (1990); Wilf et al. (2003)</t>
  </si>
  <si>
    <t>Planktonic δ18O</t>
  </si>
  <si>
    <t>Southern Ocean</t>
  </si>
  <si>
    <t>67°S</t>
  </si>
  <si>
    <t>high (S)</t>
  </si>
  <si>
    <t>Alegret and Thomas (2013); Wilf et al. (2003)</t>
  </si>
  <si>
    <t>Equatorial Pacific</t>
  </si>
  <si>
    <t>~15°N</t>
  </si>
  <si>
    <t>low (N)</t>
  </si>
  <si>
    <t>Esmeray-Senlet et al. (2015); Olsson et al. (2001)</t>
  </si>
  <si>
    <t>Turkey</t>
  </si>
  <si>
    <t>~32°N</t>
  </si>
  <si>
    <t>middle (N)</t>
  </si>
  <si>
    <t>Zachos et al. (1985)</t>
  </si>
  <si>
    <t>~10°N</t>
  </si>
  <si>
    <t>NW Atlantic</t>
  </si>
  <si>
    <t>28°N</t>
  </si>
  <si>
    <t>North Atlantic</t>
  </si>
  <si>
    <t>~17°N</t>
  </si>
  <si>
    <t>SE Atlantic</t>
  </si>
  <si>
    <t>33°S</t>
  </si>
  <si>
    <t>New Jersey, USA</t>
  </si>
  <si>
    <t>~39°S</t>
  </si>
  <si>
    <t>~41°N</t>
  </si>
  <si>
    <t>Texas, USA</t>
  </si>
  <si>
    <t>Bajada del Jagüel</t>
  </si>
  <si>
    <t>Argentina</t>
  </si>
  <si>
    <t>~43°S</t>
  </si>
  <si>
    <t>West Texas</t>
  </si>
  <si>
    <t>Paleosol δ18O</t>
  </si>
  <si>
    <t>~35°N</t>
  </si>
  <si>
    <t>North Dakota, USA</t>
  </si>
  <si>
    <t>~49°N</t>
  </si>
  <si>
    <t>Garfield County</t>
  </si>
  <si>
    <t>Bivalve Clumped isotope</t>
  </si>
  <si>
    <t>Montana, UAS</t>
  </si>
  <si>
    <t>~54°N</t>
  </si>
  <si>
    <t>Antarctica</t>
  </si>
  <si>
    <t>~65°S</t>
  </si>
  <si>
    <t>Bivalve δ18O</t>
  </si>
  <si>
    <t>Gastropod δ18O</t>
  </si>
  <si>
    <t>Fish teeth δ18O</t>
  </si>
  <si>
    <t>Tunisia</t>
  </si>
  <si>
    <t>26°N</t>
  </si>
  <si>
    <t>Songliao Basin</t>
  </si>
  <si>
    <t>Paleosol Clumped isotope</t>
  </si>
  <si>
    <t>North China</t>
  </si>
  <si>
    <t>~45°N</t>
  </si>
  <si>
    <t>Bivalve Clumped isotope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</si>
</sst>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0"/>
    <numFmt numFmtId="177" formatCode="0.0"/>
    <numFmt numFmtId="178" formatCode="0.0000"/>
    <numFmt numFmtId="179" formatCode="0.00000"/>
    <numFmt numFmtId="180" formatCode="0.0_ "/>
    <numFmt numFmtId="181" formatCode="0.00000000"/>
    <numFmt numFmtId="182" formatCode="0.000000000"/>
    <numFmt numFmtId="183" formatCode="0.00_);[Red]\(0.00\)"/>
    <numFmt numFmtId="184" formatCode="0.0000_ "/>
    <numFmt numFmtId="185" formatCode="0.00_ "/>
    <numFmt numFmtId="186" formatCode="0.000000000_ "/>
    <numFmt numFmtId="187" formatCode="0_ "/>
  </numFmts>
  <fonts count="16">
    <font>
      <sz val="12"/>
      <color theme="1"/>
      <name val="等线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Arial"/>
      <family val="2"/>
    </font>
    <font>
      <sz val="10"/>
      <name val="Verdana"/>
      <family val="2"/>
    </font>
    <font>
      <sz val="12"/>
      <color indexed="8"/>
      <name val="Calibri"/>
      <family val="2"/>
    </font>
    <font>
      <sz val="12"/>
      <color indexed="8"/>
      <name val="Arial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C00000"/>
      <name val="Calibri"/>
      <family val="2"/>
    </font>
    <font>
      <b/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theme="1"/>
      <name val="等线"/>
      <family val="4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E2EFDA"/>
      </patternFill>
    </fill>
    <fill>
      <patternFill patternType="solid">
        <fgColor theme="8" tint="0.79995117038483843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6" fillId="0" borderId="0"/>
    <xf numFmtId="0" fontId="8" fillId="0" borderId="0"/>
    <xf numFmtId="0" fontId="14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83" fontId="2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 wrapText="1"/>
    </xf>
    <xf numFmtId="183" fontId="1" fillId="0" borderId="0" xfId="0" applyNumberFormat="1" applyFont="1" applyAlignment="1">
      <alignment horizontal="center" vertical="center" wrapText="1"/>
    </xf>
    <xf numFmtId="180" fontId="2" fillId="0" borderId="0" xfId="0" applyNumberFormat="1" applyFont="1" applyAlignment="1">
      <alignment horizontal="left" vertical="center"/>
    </xf>
    <xf numFmtId="183" fontId="2" fillId="0" borderId="0" xfId="0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/>
    </xf>
    <xf numFmtId="176" fontId="2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80" fontId="10" fillId="0" borderId="0" xfId="0" applyNumberFormat="1" applyFont="1" applyAlignment="1">
      <alignment horizontal="left" vertical="center"/>
    </xf>
    <xf numFmtId="183" fontId="10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85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8" fontId="2" fillId="0" borderId="0" xfId="0" applyNumberFormat="1" applyFont="1" applyAlignment="1">
      <alignment horizontal="center"/>
    </xf>
    <xf numFmtId="185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85" fontId="2" fillId="0" borderId="0" xfId="0" applyNumberFormat="1" applyFont="1" applyAlignment="1">
      <alignment horizontal="center"/>
    </xf>
    <xf numFmtId="178" fontId="2" fillId="0" borderId="0" xfId="1" applyNumberFormat="1" applyFont="1" applyAlignment="1">
      <alignment horizontal="center"/>
    </xf>
    <xf numFmtId="185" fontId="2" fillId="0" borderId="0" xfId="1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85" fontId="2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center"/>
    </xf>
    <xf numFmtId="178" fontId="7" fillId="0" borderId="0" xfId="0" applyNumberFormat="1" applyFont="1" applyAlignment="1">
      <alignment horizontal="center"/>
    </xf>
    <xf numFmtId="18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85" fontId="2" fillId="0" borderId="0" xfId="0" applyNumberFormat="1" applyFont="1">
      <alignment vertical="center"/>
    </xf>
    <xf numFmtId="2" fontId="3" fillId="3" borderId="0" xfId="0" applyNumberFormat="1" applyFont="1" applyFill="1" applyAlignment="1">
      <alignment horizontal="center"/>
    </xf>
    <xf numFmtId="181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/>
    </xf>
    <xf numFmtId="183" fontId="2" fillId="2" borderId="0" xfId="0" applyNumberFormat="1" applyFont="1" applyFill="1" applyAlignment="1">
      <alignment horizontal="center"/>
    </xf>
    <xf numFmtId="183" fontId="2" fillId="0" borderId="0" xfId="0" applyNumberFormat="1" applyFont="1">
      <alignment vertical="center"/>
    </xf>
    <xf numFmtId="184" fontId="1" fillId="0" borderId="0" xfId="0" applyNumberFormat="1" applyFont="1" applyAlignment="1">
      <alignment horizontal="center" vertical="center"/>
    </xf>
    <xf numFmtId="184" fontId="2" fillId="0" borderId="0" xfId="1" applyNumberFormat="1" applyFont="1" applyAlignment="1">
      <alignment horizontal="center"/>
    </xf>
    <xf numFmtId="185" fontId="2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84" fontId="2" fillId="0" borderId="0" xfId="0" applyNumberFormat="1" applyFont="1" applyAlignment="1">
      <alignment horizontal="center"/>
    </xf>
    <xf numFmtId="177" fontId="2" fillId="2" borderId="0" xfId="1" applyNumberFormat="1" applyFont="1" applyFill="1" applyAlignment="1">
      <alignment horizontal="center"/>
    </xf>
    <xf numFmtId="177" fontId="2" fillId="0" borderId="0" xfId="1" applyNumberFormat="1" applyFont="1" applyAlignment="1">
      <alignment horizontal="center"/>
    </xf>
    <xf numFmtId="184" fontId="3" fillId="0" borderId="0" xfId="0" applyNumberFormat="1" applyFont="1" applyAlignment="1">
      <alignment horizontal="center"/>
    </xf>
    <xf numFmtId="185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wrapText="1"/>
    </xf>
    <xf numFmtId="185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76" fontId="4" fillId="0" borderId="0" xfId="0" applyNumberFormat="1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83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77" fontId="3" fillId="2" borderId="0" xfId="0" applyNumberFormat="1" applyFont="1" applyFill="1" applyAlignment="1">
      <alignment horizontal="center"/>
    </xf>
    <xf numFmtId="177" fontId="3" fillId="0" borderId="0" xfId="0" applyNumberFormat="1" applyFont="1" applyAlignment="1">
      <alignment horizontal="center"/>
    </xf>
    <xf numFmtId="185" fontId="3" fillId="2" borderId="0" xfId="0" applyNumberFormat="1" applyFont="1" applyFill="1" applyAlignment="1">
      <alignment horizontal="center"/>
    </xf>
    <xf numFmtId="0" fontId="11" fillId="0" borderId="0" xfId="0" applyFont="1">
      <alignment vertical="center"/>
    </xf>
    <xf numFmtId="185" fontId="4" fillId="2" borderId="0" xfId="0" applyNumberFormat="1" applyFont="1" applyFill="1" applyAlignment="1">
      <alignment horizontal="center" vertical="center"/>
    </xf>
    <xf numFmtId="185" fontId="4" fillId="0" borderId="0" xfId="0" applyNumberFormat="1" applyFont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5" fontId="2" fillId="0" borderId="0" xfId="0" applyNumberFormat="1" applyFont="1" applyAlignment="1">
      <alignment horizontal="left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Border="1" applyAlignment="1"/>
    <xf numFmtId="186" fontId="1" fillId="0" borderId="3" xfId="0" applyNumberFormat="1" applyFont="1" applyBorder="1" applyAlignment="1">
      <alignment horizontal="center" vertical="center" wrapText="1"/>
    </xf>
    <xf numFmtId="18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4" borderId="0" xfId="0" applyFont="1" applyFill="1" applyAlignment="1">
      <alignment horizontal="center" vertical="center" wrapText="1"/>
    </xf>
    <xf numFmtId="186" fontId="1" fillId="4" borderId="0" xfId="0" applyNumberFormat="1" applyFont="1" applyFill="1" applyAlignment="1">
      <alignment horizontal="center" vertical="center" wrapText="1"/>
    </xf>
    <xf numFmtId="187" fontId="2" fillId="4" borderId="0" xfId="0" applyNumberFormat="1" applyFont="1" applyFill="1" applyAlignment="1">
      <alignment horizontal="center"/>
    </xf>
    <xf numFmtId="185" fontId="2" fillId="0" borderId="2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187" fontId="2" fillId="4" borderId="2" xfId="0" applyNumberFormat="1" applyFont="1" applyFill="1" applyBorder="1" applyAlignment="1">
      <alignment horizontal="center"/>
    </xf>
    <xf numFmtId="186" fontId="1" fillId="0" borderId="0" xfId="0" applyNumberFormat="1" applyFont="1" applyAlignment="1">
      <alignment horizontal="center" vertical="center" wrapText="1"/>
    </xf>
    <xf numFmtId="186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0" fillId="0" borderId="0" xfId="0" applyFill="1">
      <alignment vertical="center"/>
    </xf>
    <xf numFmtId="0" fontId="10" fillId="0" borderId="0" xfId="0" applyFont="1" applyFill="1" applyAlignment="1">
      <alignment horizontal="left" vertical="center"/>
    </xf>
  </cellXfs>
  <cellStyles count="5">
    <cellStyle name="Normal 18" xfId="1" xr:uid="{00000000-0005-0000-0000-000000000000}"/>
    <cellStyle name="Normal 2" xfId="3" xr:uid="{00000000-0005-0000-0000-000001000000}"/>
    <cellStyle name="Normal 3" xfId="2" xr:uid="{00000000-0005-0000-0000-000002000000}"/>
    <cellStyle name="常规" xfId="0" builtinId="0"/>
    <cellStyle name="常规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11" defaultRowHeight="16"/>
  <cols>
    <col min="1" max="1" width="22.83203125" style="115" customWidth="1"/>
    <col min="2" max="2" width="51" style="9" customWidth="1"/>
    <col min="3" max="3" width="23.33203125" style="9" customWidth="1"/>
    <col min="4" max="4" width="12.1640625" style="13" customWidth="1"/>
    <col min="5" max="5" width="11.1640625" style="13" customWidth="1"/>
    <col min="6" max="6" width="11.33203125" style="13" customWidth="1"/>
    <col min="7" max="7" width="13.33203125" style="9" customWidth="1"/>
    <col min="8" max="8" width="15.33203125" style="14" customWidth="1"/>
    <col min="9" max="9" width="18.5" style="14" customWidth="1"/>
    <col min="10" max="10" width="12.83203125" style="9" customWidth="1"/>
    <col min="11" max="11" width="10.83203125" style="5" customWidth="1"/>
    <col min="12" max="16384" width="11" style="9"/>
  </cols>
  <sheetData>
    <row r="1" spans="1:11" s="5" customFormat="1" ht="34">
      <c r="A1" s="114" t="s">
        <v>0</v>
      </c>
      <c r="B1" s="7" t="s">
        <v>1</v>
      </c>
      <c r="C1" s="7" t="s">
        <v>2</v>
      </c>
      <c r="D1" s="11" t="s">
        <v>3</v>
      </c>
      <c r="E1" s="11" t="s">
        <v>4</v>
      </c>
      <c r="F1" s="11" t="s">
        <v>5</v>
      </c>
      <c r="G1" s="7" t="s">
        <v>6</v>
      </c>
      <c r="H1" s="12" t="s">
        <v>7</v>
      </c>
      <c r="I1" s="12" t="s">
        <v>8</v>
      </c>
      <c r="J1" s="113" t="s">
        <v>9</v>
      </c>
      <c r="K1" s="113"/>
    </row>
    <row r="2" spans="1:11">
      <c r="A2" s="115" t="s">
        <v>25</v>
      </c>
      <c r="B2" s="4" t="s">
        <v>24</v>
      </c>
      <c r="C2" s="4" t="s">
        <v>84</v>
      </c>
      <c r="D2" s="13">
        <v>66933.600000000006</v>
      </c>
      <c r="E2" s="13">
        <v>66047.199999999997</v>
      </c>
      <c r="F2" s="13">
        <f t="shared" ref="F2:F28" si="0">D2-E2</f>
        <v>886.40000000000873</v>
      </c>
      <c r="G2" s="9">
        <v>16</v>
      </c>
      <c r="H2" s="14">
        <f t="shared" ref="H2:H28" si="1">F2/G2</f>
        <v>55.400000000000546</v>
      </c>
      <c r="I2" s="10" t="s">
        <v>85</v>
      </c>
      <c r="J2" s="5" t="s">
        <v>86</v>
      </c>
      <c r="K2" s="23" t="s">
        <v>87</v>
      </c>
    </row>
    <row r="3" spans="1:11">
      <c r="A3" s="116" t="s">
        <v>29</v>
      </c>
      <c r="B3" s="4" t="s">
        <v>88</v>
      </c>
      <c r="C3" s="4" t="s">
        <v>89</v>
      </c>
      <c r="D3" s="13">
        <v>68421.600000000006</v>
      </c>
      <c r="E3" s="13">
        <v>65459.5</v>
      </c>
      <c r="F3" s="13">
        <f t="shared" si="0"/>
        <v>2962.1000000000058</v>
      </c>
      <c r="G3" s="9">
        <v>83</v>
      </c>
      <c r="H3" s="14">
        <f t="shared" si="1"/>
        <v>35.687951807228984</v>
      </c>
      <c r="I3" s="10" t="s">
        <v>90</v>
      </c>
      <c r="J3" s="10" t="s">
        <v>91</v>
      </c>
      <c r="K3" s="23" t="s">
        <v>92</v>
      </c>
    </row>
    <row r="4" spans="1:11">
      <c r="A4" s="116" t="s">
        <v>29</v>
      </c>
      <c r="B4" s="4" t="s">
        <v>93</v>
      </c>
      <c r="C4" s="4" t="s">
        <v>84</v>
      </c>
      <c r="D4" s="13">
        <v>66488.399999999994</v>
      </c>
      <c r="E4" s="13">
        <v>64821.234042553202</v>
      </c>
      <c r="F4" s="13">
        <f t="shared" si="0"/>
        <v>1667.1659574467922</v>
      </c>
      <c r="G4" s="9">
        <v>46</v>
      </c>
      <c r="H4" s="14">
        <f t="shared" si="1"/>
        <v>36.24273820536505</v>
      </c>
      <c r="I4" s="10" t="s">
        <v>90</v>
      </c>
      <c r="J4" s="10" t="s">
        <v>91</v>
      </c>
      <c r="K4" s="23" t="s">
        <v>92</v>
      </c>
    </row>
    <row r="5" spans="1:11">
      <c r="A5" s="115" t="s">
        <v>36</v>
      </c>
      <c r="B5" s="4" t="s">
        <v>35</v>
      </c>
      <c r="C5" s="4" t="s">
        <v>84</v>
      </c>
      <c r="D5" s="13">
        <v>66582.899999999994</v>
      </c>
      <c r="E5" s="13">
        <v>64703.75</v>
      </c>
      <c r="F5" s="13">
        <f t="shared" si="0"/>
        <v>1879.1499999999942</v>
      </c>
      <c r="G5" s="9">
        <v>175</v>
      </c>
      <c r="H5" s="14">
        <f t="shared" si="1"/>
        <v>10.737999999999968</v>
      </c>
      <c r="I5" s="10" t="s">
        <v>94</v>
      </c>
      <c r="J5" s="10" t="s">
        <v>95</v>
      </c>
      <c r="K5" s="24" t="s">
        <v>96</v>
      </c>
    </row>
    <row r="6" spans="1:11">
      <c r="A6" s="115" t="s">
        <v>38</v>
      </c>
      <c r="B6" s="4" t="s">
        <v>97</v>
      </c>
      <c r="C6" s="4" t="s">
        <v>89</v>
      </c>
      <c r="D6" s="13">
        <v>66558</v>
      </c>
      <c r="E6" s="13">
        <v>66054</v>
      </c>
      <c r="F6" s="13">
        <f t="shared" si="0"/>
        <v>504</v>
      </c>
      <c r="G6" s="9">
        <v>46</v>
      </c>
      <c r="H6" s="14">
        <f t="shared" si="1"/>
        <v>10.956521739130435</v>
      </c>
      <c r="I6" s="10" t="s">
        <v>98</v>
      </c>
      <c r="J6" s="10" t="s">
        <v>99</v>
      </c>
      <c r="K6" s="24" t="s">
        <v>100</v>
      </c>
    </row>
    <row r="7" spans="1:11">
      <c r="A7" s="115" t="s">
        <v>38</v>
      </c>
      <c r="B7" s="4" t="s">
        <v>97</v>
      </c>
      <c r="C7" s="4" t="s">
        <v>84</v>
      </c>
      <c r="D7" s="13">
        <v>66558</v>
      </c>
      <c r="E7" s="13">
        <v>66047.5</v>
      </c>
      <c r="F7" s="13">
        <f t="shared" si="0"/>
        <v>510.5</v>
      </c>
      <c r="G7" s="9">
        <v>24</v>
      </c>
      <c r="H7" s="14">
        <f t="shared" si="1"/>
        <v>21.270833333333332</v>
      </c>
      <c r="I7" s="10" t="s">
        <v>98</v>
      </c>
      <c r="J7" s="10" t="s">
        <v>99</v>
      </c>
      <c r="K7" s="24" t="s">
        <v>100</v>
      </c>
    </row>
    <row r="8" spans="1:11">
      <c r="A8" s="116" t="s">
        <v>40</v>
      </c>
      <c r="B8" s="4" t="s">
        <v>101</v>
      </c>
      <c r="C8" s="4" t="s">
        <v>84</v>
      </c>
      <c r="D8" s="13">
        <v>66125.492537313432</v>
      </c>
      <c r="E8" s="13">
        <v>65253.945945945947</v>
      </c>
      <c r="F8" s="13">
        <f t="shared" si="0"/>
        <v>871.54659136748523</v>
      </c>
      <c r="G8" s="9">
        <v>9</v>
      </c>
      <c r="H8" s="14">
        <f t="shared" si="1"/>
        <v>96.838510151942799</v>
      </c>
      <c r="I8" s="10" t="s">
        <v>94</v>
      </c>
      <c r="J8" s="10" t="s">
        <v>102</v>
      </c>
      <c r="K8" s="23" t="s">
        <v>96</v>
      </c>
    </row>
    <row r="9" spans="1:11">
      <c r="A9" s="116" t="s">
        <v>42</v>
      </c>
      <c r="B9" s="4" t="s">
        <v>41</v>
      </c>
      <c r="C9" s="4" t="s">
        <v>84</v>
      </c>
      <c r="D9" s="13">
        <v>66172.677316293935</v>
      </c>
      <c r="E9" s="13">
        <v>65715.636363636368</v>
      </c>
      <c r="F9" s="13">
        <f t="shared" si="0"/>
        <v>457.04095265756769</v>
      </c>
      <c r="G9" s="9">
        <v>76</v>
      </c>
      <c r="H9" s="14">
        <f t="shared" si="1"/>
        <v>6.013696745494312</v>
      </c>
      <c r="I9" s="10" t="s">
        <v>103</v>
      </c>
      <c r="J9" s="10" t="s">
        <v>104</v>
      </c>
      <c r="K9" s="23" t="s">
        <v>96</v>
      </c>
    </row>
    <row r="10" spans="1:11">
      <c r="A10" s="116" t="s">
        <v>44</v>
      </c>
      <c r="B10" s="4" t="s">
        <v>43</v>
      </c>
      <c r="C10" s="4" t="s">
        <v>84</v>
      </c>
      <c r="D10" s="13">
        <v>66401.649635036491</v>
      </c>
      <c r="E10" s="13">
        <v>64911.791044776124</v>
      </c>
      <c r="F10" s="13">
        <f t="shared" si="0"/>
        <v>1489.8585902603663</v>
      </c>
      <c r="G10" s="9">
        <v>13</v>
      </c>
      <c r="H10" s="14">
        <f t="shared" si="1"/>
        <v>114.60450694310511</v>
      </c>
      <c r="I10" s="10" t="s">
        <v>105</v>
      </c>
      <c r="J10" s="10" t="s">
        <v>106</v>
      </c>
      <c r="K10" s="24" t="s">
        <v>96</v>
      </c>
    </row>
    <row r="11" spans="1:11">
      <c r="A11" s="116" t="s">
        <v>46</v>
      </c>
      <c r="B11" s="4" t="s">
        <v>45</v>
      </c>
      <c r="C11" s="4" t="s">
        <v>84</v>
      </c>
      <c r="D11" s="13">
        <v>66488.478176638164</v>
      </c>
      <c r="E11" s="13">
        <v>66040.241652421653</v>
      </c>
      <c r="F11" s="13">
        <f t="shared" si="0"/>
        <v>448.23652421651059</v>
      </c>
      <c r="G11" s="9">
        <v>72</v>
      </c>
      <c r="H11" s="14">
        <f t="shared" si="1"/>
        <v>6.2255072807848695</v>
      </c>
      <c r="I11" s="10" t="s">
        <v>85</v>
      </c>
      <c r="J11" s="10" t="s">
        <v>86</v>
      </c>
      <c r="K11" s="24" t="s">
        <v>87</v>
      </c>
    </row>
    <row r="12" spans="1:11">
      <c r="A12" s="116" t="s">
        <v>46</v>
      </c>
      <c r="B12" s="4" t="s">
        <v>45</v>
      </c>
      <c r="C12" s="4" t="s">
        <v>89</v>
      </c>
      <c r="D12" s="13">
        <v>66523.645720476707</v>
      </c>
      <c r="E12" s="13">
        <v>66046.469879518088</v>
      </c>
      <c r="F12" s="13">
        <f t="shared" si="0"/>
        <v>477.17584095861821</v>
      </c>
      <c r="G12" s="9">
        <v>71</v>
      </c>
      <c r="H12" s="14">
        <f t="shared" si="1"/>
        <v>6.7207864923749048</v>
      </c>
      <c r="I12" s="10" t="s">
        <v>85</v>
      </c>
      <c r="J12" s="10" t="s">
        <v>86</v>
      </c>
      <c r="K12" s="24" t="s">
        <v>87</v>
      </c>
    </row>
    <row r="13" spans="1:11" ht="17">
      <c r="A13" s="116" t="s">
        <v>48</v>
      </c>
      <c r="B13" s="4" t="s">
        <v>47</v>
      </c>
      <c r="C13" s="4" t="s">
        <v>89</v>
      </c>
      <c r="D13" s="13">
        <v>66459.183673469393</v>
      </c>
      <c r="E13" s="13">
        <v>65954.684210526291</v>
      </c>
      <c r="F13" s="13">
        <f t="shared" si="0"/>
        <v>504.49946294310212</v>
      </c>
      <c r="G13" s="9">
        <v>16</v>
      </c>
      <c r="H13" s="14">
        <f t="shared" si="1"/>
        <v>31.531216433943882</v>
      </c>
      <c r="I13" s="10" t="s">
        <v>107</v>
      </c>
      <c r="J13" s="22" t="s">
        <v>108</v>
      </c>
      <c r="K13" s="23" t="s">
        <v>87</v>
      </c>
    </row>
    <row r="14" spans="1:11" ht="17">
      <c r="A14" s="116" t="s">
        <v>50</v>
      </c>
      <c r="B14" s="4" t="s">
        <v>49</v>
      </c>
      <c r="C14" s="4" t="s">
        <v>89</v>
      </c>
      <c r="D14" s="13">
        <v>66331.852999999988</v>
      </c>
      <c r="E14" s="13">
        <v>66063.184000000008</v>
      </c>
      <c r="F14" s="13">
        <f t="shared" si="0"/>
        <v>268.66899999997986</v>
      </c>
      <c r="G14" s="9">
        <v>14</v>
      </c>
      <c r="H14" s="14">
        <f t="shared" si="1"/>
        <v>19.19064285714142</v>
      </c>
      <c r="I14" s="10" t="s">
        <v>109</v>
      </c>
      <c r="J14" s="22" t="s">
        <v>110</v>
      </c>
      <c r="K14" s="23" t="s">
        <v>100</v>
      </c>
    </row>
    <row r="15" spans="1:11">
      <c r="A15" s="116" t="s">
        <v>50</v>
      </c>
      <c r="B15" s="4" t="s">
        <v>49</v>
      </c>
      <c r="C15" s="4" t="s">
        <v>84</v>
      </c>
      <c r="D15" s="13">
        <v>66521.319000000003</v>
      </c>
      <c r="E15" s="13">
        <v>66042.994999999995</v>
      </c>
      <c r="F15" s="13">
        <f t="shared" si="0"/>
        <v>478.3240000000078</v>
      </c>
      <c r="G15" s="9">
        <v>34</v>
      </c>
      <c r="H15" s="14">
        <f t="shared" si="1"/>
        <v>14.0683529411767</v>
      </c>
      <c r="I15" s="10" t="s">
        <v>109</v>
      </c>
      <c r="J15" s="10" t="s">
        <v>110</v>
      </c>
      <c r="K15" s="23" t="s">
        <v>100</v>
      </c>
    </row>
    <row r="16" spans="1:11">
      <c r="A16" s="116" t="s">
        <v>50</v>
      </c>
      <c r="B16" s="4" t="s">
        <v>49</v>
      </c>
      <c r="C16" s="4" t="s">
        <v>51</v>
      </c>
      <c r="D16" s="13">
        <v>66521.319000000003</v>
      </c>
      <c r="E16" s="13">
        <v>66066.289999999994</v>
      </c>
      <c r="F16" s="13">
        <f t="shared" si="0"/>
        <v>455.02900000000955</v>
      </c>
      <c r="G16" s="9">
        <v>25</v>
      </c>
      <c r="H16" s="14">
        <f t="shared" si="1"/>
        <v>18.201160000000382</v>
      </c>
      <c r="I16" s="10" t="s">
        <v>109</v>
      </c>
      <c r="J16" s="10" t="s">
        <v>110</v>
      </c>
      <c r="K16" s="23" t="s">
        <v>100</v>
      </c>
    </row>
    <row r="17" spans="1:11" ht="17">
      <c r="A17" s="116" t="s">
        <v>50</v>
      </c>
      <c r="B17" s="4" t="s">
        <v>49</v>
      </c>
      <c r="C17" s="4" t="s">
        <v>52</v>
      </c>
      <c r="D17" s="13">
        <v>66521.319000000003</v>
      </c>
      <c r="E17" s="13">
        <v>66063.184000000008</v>
      </c>
      <c r="F17" s="13">
        <f t="shared" si="0"/>
        <v>458.13499999999476</v>
      </c>
      <c r="G17" s="9">
        <v>39</v>
      </c>
      <c r="H17" s="14">
        <f t="shared" si="1"/>
        <v>11.747051282051148</v>
      </c>
      <c r="I17" s="10" t="s">
        <v>109</v>
      </c>
      <c r="J17" s="22" t="s">
        <v>110</v>
      </c>
      <c r="K17" s="24" t="s">
        <v>100</v>
      </c>
    </row>
    <row r="18" spans="1:11" ht="20" customHeight="1">
      <c r="A18" s="116" t="s">
        <v>54</v>
      </c>
      <c r="B18" s="4" t="s">
        <v>53</v>
      </c>
      <c r="C18" s="4" t="s">
        <v>51</v>
      </c>
      <c r="D18" s="13">
        <v>67000</v>
      </c>
      <c r="E18" s="13">
        <v>65587.765957446813</v>
      </c>
      <c r="F18" s="13">
        <f t="shared" si="0"/>
        <v>1412.2340425531875</v>
      </c>
      <c r="G18" s="9">
        <v>44</v>
      </c>
      <c r="H18" s="14">
        <f t="shared" si="1"/>
        <v>32.096228239845168</v>
      </c>
      <c r="I18" s="10" t="s">
        <v>109</v>
      </c>
      <c r="J18" s="22" t="s">
        <v>111</v>
      </c>
      <c r="K18" s="24" t="s">
        <v>100</v>
      </c>
    </row>
    <row r="19" spans="1:11" ht="17">
      <c r="A19" s="116" t="s">
        <v>58</v>
      </c>
      <c r="B19" s="4" t="s">
        <v>57</v>
      </c>
      <c r="C19" s="15" t="s">
        <v>51</v>
      </c>
      <c r="D19" s="13">
        <v>66279.999999999956</v>
      </c>
      <c r="E19" s="13">
        <v>65664.772727272735</v>
      </c>
      <c r="F19" s="13">
        <f t="shared" si="0"/>
        <v>615.22727272722113</v>
      </c>
      <c r="G19" s="9">
        <v>54</v>
      </c>
      <c r="H19" s="14">
        <f t="shared" si="1"/>
        <v>11.393097643096688</v>
      </c>
      <c r="I19" s="10" t="s">
        <v>112</v>
      </c>
      <c r="J19" s="22" t="s">
        <v>99</v>
      </c>
      <c r="K19" s="24" t="s">
        <v>100</v>
      </c>
    </row>
    <row r="20" spans="1:11" ht="17">
      <c r="A20" s="116" t="s">
        <v>113</v>
      </c>
      <c r="B20" s="4" t="s">
        <v>59</v>
      </c>
      <c r="C20" s="9" t="s">
        <v>51</v>
      </c>
      <c r="D20" s="13">
        <v>66743.668122270741</v>
      </c>
      <c r="E20" s="13">
        <v>64881.432360742707</v>
      </c>
      <c r="F20" s="13">
        <f t="shared" si="0"/>
        <v>1862.2357615280343</v>
      </c>
      <c r="G20" s="9">
        <v>26</v>
      </c>
      <c r="H20" s="14">
        <f t="shared" si="1"/>
        <v>71.624452366462862</v>
      </c>
      <c r="I20" s="10" t="s">
        <v>114</v>
      </c>
      <c r="J20" s="22" t="s">
        <v>115</v>
      </c>
      <c r="K20" s="24" t="s">
        <v>87</v>
      </c>
    </row>
    <row r="21" spans="1:11">
      <c r="A21" s="116" t="s">
        <v>116</v>
      </c>
      <c r="B21" s="4" t="s">
        <v>61</v>
      </c>
      <c r="C21" s="4" t="s">
        <v>117</v>
      </c>
      <c r="D21" s="13">
        <v>66400</v>
      </c>
      <c r="E21" s="13">
        <v>63125</v>
      </c>
      <c r="F21" s="13">
        <f t="shared" si="0"/>
        <v>3275</v>
      </c>
      <c r="G21" s="9">
        <v>22</v>
      </c>
      <c r="H21" s="14">
        <f t="shared" si="1"/>
        <v>148.86363636363637</v>
      </c>
      <c r="I21" s="10" t="s">
        <v>112</v>
      </c>
      <c r="J21" s="10" t="s">
        <v>118</v>
      </c>
      <c r="K21" s="24" t="s">
        <v>100</v>
      </c>
    </row>
    <row r="22" spans="1:11">
      <c r="A22" s="116" t="s">
        <v>67</v>
      </c>
      <c r="B22" s="4" t="s">
        <v>66</v>
      </c>
      <c r="C22" s="4" t="s">
        <v>68</v>
      </c>
      <c r="D22" s="13">
        <v>67151.94029850747</v>
      </c>
      <c r="E22" s="13">
        <v>65286.268656716427</v>
      </c>
      <c r="F22" s="13">
        <f t="shared" si="0"/>
        <v>1865.6716417910429</v>
      </c>
      <c r="G22" s="9">
        <v>14</v>
      </c>
      <c r="H22" s="14">
        <f t="shared" si="1"/>
        <v>133.26226012793163</v>
      </c>
      <c r="I22" s="10" t="s">
        <v>119</v>
      </c>
      <c r="J22" s="10" t="s">
        <v>120</v>
      </c>
      <c r="K22" s="24" t="s">
        <v>100</v>
      </c>
    </row>
    <row r="23" spans="1:11" ht="17">
      <c r="A23" s="115" t="s">
        <v>121</v>
      </c>
      <c r="B23" s="4" t="s">
        <v>70</v>
      </c>
      <c r="C23" s="15" t="s">
        <v>136</v>
      </c>
      <c r="D23" s="13">
        <v>67052.2</v>
      </c>
      <c r="E23" s="13">
        <v>65168.2</v>
      </c>
      <c r="F23" s="13">
        <f t="shared" si="0"/>
        <v>1884</v>
      </c>
      <c r="G23" s="9">
        <v>10</v>
      </c>
      <c r="H23" s="14">
        <f t="shared" si="1"/>
        <v>188.4</v>
      </c>
      <c r="I23" s="10" t="s">
        <v>123</v>
      </c>
      <c r="J23" s="22" t="s">
        <v>124</v>
      </c>
      <c r="K23" s="24" t="s">
        <v>100</v>
      </c>
    </row>
    <row r="24" spans="1:11" ht="17">
      <c r="A24" s="116" t="s">
        <v>74</v>
      </c>
      <c r="B24" s="4" t="s">
        <v>73</v>
      </c>
      <c r="C24" s="15" t="s">
        <v>122</v>
      </c>
      <c r="D24" s="13">
        <v>68953</v>
      </c>
      <c r="E24" s="13">
        <v>65808</v>
      </c>
      <c r="F24" s="13">
        <f t="shared" si="0"/>
        <v>3145</v>
      </c>
      <c r="G24" s="9">
        <v>18</v>
      </c>
      <c r="H24" s="14">
        <f t="shared" si="1"/>
        <v>174.72222222222223</v>
      </c>
      <c r="I24" s="10" t="s">
        <v>125</v>
      </c>
      <c r="J24" s="22" t="s">
        <v>126</v>
      </c>
      <c r="K24" s="24" t="s">
        <v>92</v>
      </c>
    </row>
    <row r="25" spans="1:11" ht="17">
      <c r="A25" s="116" t="s">
        <v>74</v>
      </c>
      <c r="B25" s="4" t="s">
        <v>75</v>
      </c>
      <c r="C25" s="15" t="s">
        <v>127</v>
      </c>
      <c r="D25" s="13">
        <v>68549.637170000002</v>
      </c>
      <c r="E25" s="13">
        <v>65668.335200000001</v>
      </c>
      <c r="F25" s="13">
        <f t="shared" si="0"/>
        <v>2881.3019700000004</v>
      </c>
      <c r="G25" s="9">
        <v>17</v>
      </c>
      <c r="H25" s="14">
        <f t="shared" si="1"/>
        <v>169.48835117647062</v>
      </c>
      <c r="I25" s="10" t="s">
        <v>125</v>
      </c>
      <c r="J25" s="22" t="s">
        <v>126</v>
      </c>
      <c r="K25" s="24" t="s">
        <v>92</v>
      </c>
    </row>
    <row r="26" spans="1:11" ht="17">
      <c r="A26" s="116" t="s">
        <v>74</v>
      </c>
      <c r="B26" s="4" t="s">
        <v>75</v>
      </c>
      <c r="C26" s="16" t="s">
        <v>128</v>
      </c>
      <c r="D26" s="78">
        <v>68549.637168141606</v>
      </c>
      <c r="E26" s="13">
        <v>65720.840223463703</v>
      </c>
      <c r="F26" s="13">
        <f t="shared" si="0"/>
        <v>2828.7969446779025</v>
      </c>
      <c r="G26" s="9">
        <v>21</v>
      </c>
      <c r="H26" s="14">
        <f t="shared" si="1"/>
        <v>134.70461641323345</v>
      </c>
      <c r="I26" s="10" t="s">
        <v>125</v>
      </c>
      <c r="J26" s="22" t="s">
        <v>126</v>
      </c>
      <c r="K26" s="24" t="s">
        <v>92</v>
      </c>
    </row>
    <row r="27" spans="1:11" ht="17">
      <c r="A27" s="115" t="s">
        <v>80</v>
      </c>
      <c r="B27" s="4" t="s">
        <v>79</v>
      </c>
      <c r="C27" s="17" t="s">
        <v>129</v>
      </c>
      <c r="D27" s="13">
        <v>66092</v>
      </c>
      <c r="E27" s="13">
        <v>65804</v>
      </c>
      <c r="F27" s="13">
        <f t="shared" si="0"/>
        <v>288</v>
      </c>
      <c r="G27" s="9">
        <v>40</v>
      </c>
      <c r="H27" s="14">
        <f t="shared" si="1"/>
        <v>7.2</v>
      </c>
      <c r="I27" s="10" t="s">
        <v>130</v>
      </c>
      <c r="J27" s="22" t="s">
        <v>131</v>
      </c>
      <c r="K27" s="24" t="s">
        <v>96</v>
      </c>
    </row>
    <row r="28" spans="1:11" ht="17">
      <c r="A28" s="116" t="s">
        <v>132</v>
      </c>
      <c r="B28" s="4" t="s">
        <v>82</v>
      </c>
      <c r="C28" s="9" t="s">
        <v>133</v>
      </c>
      <c r="D28" s="13">
        <v>68933</v>
      </c>
      <c r="E28" s="13">
        <v>65521</v>
      </c>
      <c r="F28" s="13">
        <f t="shared" si="0"/>
        <v>3412</v>
      </c>
      <c r="G28" s="9">
        <v>28</v>
      </c>
      <c r="H28" s="14">
        <f t="shared" si="1"/>
        <v>121.85714285714286</v>
      </c>
      <c r="I28" s="10" t="s">
        <v>134</v>
      </c>
      <c r="J28" s="22" t="s">
        <v>135</v>
      </c>
      <c r="K28" s="24" t="s">
        <v>100</v>
      </c>
    </row>
    <row r="29" spans="1:11">
      <c r="A29" s="117"/>
      <c r="B29"/>
      <c r="C29"/>
      <c r="D29" s="6"/>
      <c r="E29"/>
      <c r="F29"/>
      <c r="G29"/>
      <c r="H29"/>
      <c r="I29"/>
      <c r="J29"/>
      <c r="K29"/>
    </row>
    <row r="30" spans="1:11">
      <c r="A30" s="117"/>
      <c r="B30"/>
      <c r="C30"/>
      <c r="D30" s="6"/>
      <c r="E30"/>
      <c r="F30"/>
      <c r="G30"/>
      <c r="H30"/>
      <c r="I30"/>
      <c r="J30"/>
      <c r="K30"/>
    </row>
    <row r="31" spans="1:11">
      <c r="A31" s="117"/>
      <c r="B31"/>
      <c r="C31"/>
      <c r="D31"/>
      <c r="E31"/>
      <c r="F31"/>
      <c r="G31"/>
      <c r="H31"/>
      <c r="I31"/>
      <c r="J31"/>
      <c r="K31"/>
    </row>
    <row r="32" spans="1:11">
      <c r="A32" s="118"/>
      <c r="B32" s="18"/>
      <c r="C32" s="18"/>
      <c r="D32" s="19"/>
      <c r="E32" s="19"/>
      <c r="F32" s="19"/>
      <c r="G32" s="18"/>
      <c r="H32" s="20"/>
      <c r="I32" s="20"/>
      <c r="J32"/>
      <c r="K32"/>
    </row>
    <row r="33" spans="1:11">
      <c r="A33" s="117"/>
      <c r="B33"/>
      <c r="C33"/>
      <c r="D33"/>
      <c r="E33"/>
      <c r="F33"/>
      <c r="G33"/>
      <c r="H33"/>
      <c r="I33"/>
      <c r="J33"/>
      <c r="K33"/>
    </row>
    <row r="35" spans="1:11">
      <c r="A35" s="118"/>
      <c r="B35" s="18"/>
      <c r="C35" s="18"/>
      <c r="D35" s="19"/>
      <c r="E35" s="19"/>
      <c r="F35" s="19"/>
      <c r="G35" s="18"/>
      <c r="H35" s="20"/>
      <c r="I35" s="20"/>
    </row>
    <row r="36" spans="1:11">
      <c r="D36" s="6"/>
    </row>
    <row r="38" spans="1:11">
      <c r="G38" s="21"/>
    </row>
  </sheetData>
  <mergeCells count="1">
    <mergeCell ref="J1:K1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9"/>
  <sheetViews>
    <sheetView workbookViewId="0">
      <pane ySplit="1" topLeftCell="A2" activePane="bottomLeft" state="frozen"/>
      <selection pane="bottomLeft" activeCell="M18" sqref="M18"/>
    </sheetView>
  </sheetViews>
  <sheetFormatPr baseColWidth="10" defaultRowHeight="16"/>
  <cols>
    <col min="1" max="1" width="13" style="5" customWidth="1"/>
    <col min="2" max="2" width="11.83203125" style="5" customWidth="1"/>
    <col min="3" max="3" width="13" style="95" customWidth="1"/>
    <col min="4" max="4" width="13.1640625" style="86" customWidth="1"/>
    <col min="5" max="5" width="13" style="82" customWidth="1"/>
    <col min="6" max="6" width="11.83203125" style="5" customWidth="1"/>
    <col min="7" max="7" width="13" style="95" customWidth="1"/>
    <col min="8" max="8" width="13.1640625" style="95" customWidth="1"/>
    <col min="9" max="9" width="13" style="82" customWidth="1"/>
    <col min="10" max="10" width="15" style="5" customWidth="1"/>
    <col min="11" max="11" width="13" style="95" customWidth="1"/>
    <col min="12" max="12" width="13.1640625" style="86" customWidth="1"/>
    <col min="13" max="13" width="13" style="5" customWidth="1"/>
    <col min="14" max="14" width="14" style="5" customWidth="1"/>
    <col min="15" max="15" width="13" style="95" customWidth="1"/>
    <col min="16" max="16" width="13.1640625" style="86" customWidth="1"/>
    <col min="17" max="17" width="10.83203125" style="5"/>
    <col min="18" max="18" width="13" customWidth="1"/>
    <col min="20" max="16384" width="10.83203125" style="5"/>
  </cols>
  <sheetData>
    <row r="1" spans="1:19" ht="34">
      <c r="A1" s="8" t="s">
        <v>10</v>
      </c>
      <c r="B1" s="7" t="s">
        <v>11</v>
      </c>
      <c r="C1" s="105" t="s">
        <v>12</v>
      </c>
      <c r="D1" s="93" t="s">
        <v>13</v>
      </c>
      <c r="E1" s="80" t="s">
        <v>10</v>
      </c>
      <c r="F1" s="7" t="s">
        <v>14</v>
      </c>
      <c r="G1" s="105" t="s">
        <v>12</v>
      </c>
      <c r="H1" s="93" t="s">
        <v>13</v>
      </c>
      <c r="I1" s="80" t="s">
        <v>10</v>
      </c>
      <c r="J1" s="7" t="s">
        <v>15</v>
      </c>
      <c r="K1" s="105" t="s">
        <v>12</v>
      </c>
      <c r="L1" s="98" t="s">
        <v>13</v>
      </c>
      <c r="M1" s="8" t="s">
        <v>10</v>
      </c>
      <c r="N1" s="7" t="s">
        <v>16</v>
      </c>
      <c r="O1" s="105" t="s">
        <v>12</v>
      </c>
      <c r="P1" s="98" t="s">
        <v>13</v>
      </c>
      <c r="Q1" s="96"/>
      <c r="R1" s="96"/>
      <c r="S1" s="96"/>
    </row>
    <row r="2" spans="1:19">
      <c r="A2" s="1">
        <v>0.52809591641599996</v>
      </c>
      <c r="B2" s="1">
        <v>63200</v>
      </c>
      <c r="C2" s="94">
        <v>0.52809591641599996</v>
      </c>
      <c r="D2" s="84">
        <v>63200</v>
      </c>
      <c r="E2" s="81">
        <v>0.28583344691500001</v>
      </c>
      <c r="F2" s="1">
        <v>64650.000000000007</v>
      </c>
      <c r="G2" s="94">
        <v>0.28583344691500001</v>
      </c>
      <c r="H2" s="94">
        <v>64650.000000000007</v>
      </c>
      <c r="I2" s="81">
        <v>0.21065048777600001</v>
      </c>
      <c r="J2" s="1">
        <v>64800</v>
      </c>
      <c r="K2" s="94">
        <v>0.19520205457600001</v>
      </c>
      <c r="L2" s="84">
        <v>64800</v>
      </c>
      <c r="M2" s="1">
        <v>0.21065048777600001</v>
      </c>
      <c r="N2" s="1">
        <v>64800</v>
      </c>
      <c r="O2" s="94">
        <v>0.161533941682</v>
      </c>
      <c r="P2" s="83">
        <v>64800</v>
      </c>
      <c r="Q2" s="97"/>
      <c r="R2" s="97"/>
      <c r="S2" s="97"/>
    </row>
    <row r="3" spans="1:19">
      <c r="A3" s="1">
        <v>0.28805231804499998</v>
      </c>
      <c r="B3" s="1">
        <v>63400</v>
      </c>
      <c r="C3" s="94">
        <v>0.28805231804499998</v>
      </c>
      <c r="D3" s="84">
        <v>63400</v>
      </c>
      <c r="E3" s="81">
        <v>0.21065048777600001</v>
      </c>
      <c r="F3" s="1">
        <v>64800</v>
      </c>
      <c r="G3" s="94">
        <v>0.325630534937</v>
      </c>
      <c r="H3" s="94">
        <v>64800</v>
      </c>
      <c r="I3" s="81">
        <v>0.17975362137600001</v>
      </c>
      <c r="J3" s="1">
        <v>64800</v>
      </c>
      <c r="K3" s="94">
        <v>0.246424250756</v>
      </c>
      <c r="L3" s="84">
        <v>64900.000000000007</v>
      </c>
      <c r="M3" s="1">
        <v>0.112417395588</v>
      </c>
      <c r="N3" s="1">
        <v>64800</v>
      </c>
      <c r="O3" s="94">
        <v>0.40783743296800001</v>
      </c>
      <c r="P3" s="83">
        <v>64849.999999999993</v>
      </c>
      <c r="Q3" s="97"/>
      <c r="R3" s="97"/>
      <c r="S3" s="97"/>
    </row>
    <row r="4" spans="1:19">
      <c r="A4" s="1">
        <v>0.21065048777600001</v>
      </c>
      <c r="B4" s="1">
        <v>64800</v>
      </c>
      <c r="C4" s="94">
        <v>0.34400665341300002</v>
      </c>
      <c r="D4" s="84">
        <v>64800</v>
      </c>
      <c r="E4" s="81">
        <v>0.44061058209800003</v>
      </c>
      <c r="F4" s="1">
        <v>64800</v>
      </c>
      <c r="G4" s="94">
        <v>0.36812189792799999</v>
      </c>
      <c r="H4" s="94">
        <v>64950</v>
      </c>
      <c r="I4" s="81">
        <v>8.2906763976699993E-2</v>
      </c>
      <c r="J4" s="1">
        <v>64900.000000000007</v>
      </c>
      <c r="K4" s="94">
        <v>0.52967840306500003</v>
      </c>
      <c r="L4" s="84">
        <v>65000</v>
      </c>
      <c r="M4" s="1">
        <v>0.40783743296800001</v>
      </c>
      <c r="N4" s="1">
        <v>64849.999999999993</v>
      </c>
      <c r="O4" s="94">
        <v>0.20903956949700001</v>
      </c>
      <c r="P4" s="83">
        <v>64900.000000000007</v>
      </c>
      <c r="Q4" s="97"/>
      <c r="R4" s="97"/>
      <c r="S4" s="97"/>
    </row>
    <row r="5" spans="1:19">
      <c r="A5" s="1">
        <v>0.47736281904900002</v>
      </c>
      <c r="B5" s="1">
        <v>64800</v>
      </c>
      <c r="C5" s="94">
        <v>0.405075054243</v>
      </c>
      <c r="D5" s="84">
        <v>65000</v>
      </c>
      <c r="E5" s="81">
        <v>0.42704703520999998</v>
      </c>
      <c r="F5" s="1">
        <v>64950</v>
      </c>
      <c r="G5" s="94">
        <v>0.52495143121200005</v>
      </c>
      <c r="H5" s="94">
        <v>65099.999999999993</v>
      </c>
      <c r="I5" s="81">
        <v>0.27577345331300002</v>
      </c>
      <c r="J5" s="1">
        <v>64900.000000000007</v>
      </c>
      <c r="K5" s="94">
        <v>0.480074165793</v>
      </c>
      <c r="L5" s="84">
        <v>65099.999999999993</v>
      </c>
      <c r="M5" s="1">
        <v>8.2906763976699993E-2</v>
      </c>
      <c r="N5" s="1">
        <v>64900.000000000007</v>
      </c>
      <c r="O5" s="94">
        <v>0.21481897169600001</v>
      </c>
      <c r="P5" s="83">
        <v>64950</v>
      </c>
      <c r="Q5" s="97"/>
      <c r="R5" s="97"/>
      <c r="S5" s="97"/>
    </row>
    <row r="6" spans="1:19">
      <c r="A6" s="1">
        <v>0.42704703520999998</v>
      </c>
      <c r="B6" s="1">
        <v>65000</v>
      </c>
      <c r="C6" s="94">
        <v>0.416145102391</v>
      </c>
      <c r="D6" s="84">
        <v>65200</v>
      </c>
      <c r="E6" s="81">
        <v>0.29672612359599998</v>
      </c>
      <c r="F6" s="1">
        <v>64950</v>
      </c>
      <c r="G6" s="94">
        <v>0.59312266376900002</v>
      </c>
      <c r="H6" s="94">
        <v>65250</v>
      </c>
      <c r="I6" s="81">
        <v>0.38059253498000001</v>
      </c>
      <c r="J6" s="1">
        <v>64900.000000000007</v>
      </c>
      <c r="K6" s="94">
        <v>0.29602420068099999</v>
      </c>
      <c r="L6" s="84">
        <v>65200</v>
      </c>
      <c r="M6" s="1">
        <v>0.163619409534</v>
      </c>
      <c r="N6" s="1">
        <v>64900.000000000007</v>
      </c>
      <c r="O6" s="94">
        <v>0.31445754077100002</v>
      </c>
      <c r="P6" s="83">
        <v>65000</v>
      </c>
      <c r="Q6" s="97"/>
      <c r="R6" s="97"/>
      <c r="S6" s="97"/>
    </row>
    <row r="7" spans="1:19">
      <c r="A7" s="1">
        <v>0.40758559253999999</v>
      </c>
      <c r="B7" s="1">
        <v>65000</v>
      </c>
      <c r="C7" s="94">
        <v>0.62149336423500001</v>
      </c>
      <c r="D7" s="84">
        <v>65400.000000000007</v>
      </c>
      <c r="E7" s="81">
        <v>0.38059253498000001</v>
      </c>
      <c r="F7" s="1">
        <v>64950</v>
      </c>
      <c r="G7" s="94">
        <v>0.56249003086000005</v>
      </c>
      <c r="H7" s="94">
        <v>65400.000000000007</v>
      </c>
      <c r="I7" s="81">
        <v>0.55029845110800002</v>
      </c>
      <c r="J7" s="1">
        <v>65000</v>
      </c>
      <c r="K7" s="94">
        <v>0.41746714116900002</v>
      </c>
      <c r="L7" s="84">
        <v>65300</v>
      </c>
      <c r="M7" s="1">
        <v>0.38059253498000001</v>
      </c>
      <c r="N7" s="1">
        <v>64900.000000000007</v>
      </c>
      <c r="O7" s="94">
        <v>0.27340117212300002</v>
      </c>
      <c r="P7" s="83">
        <v>65050</v>
      </c>
      <c r="Q7" s="97"/>
      <c r="R7" s="97"/>
      <c r="S7" s="97"/>
    </row>
    <row r="8" spans="1:19">
      <c r="A8" s="1">
        <v>0.38059253498000001</v>
      </c>
      <c r="B8" s="1">
        <v>65000</v>
      </c>
      <c r="C8" s="94">
        <v>0.46015706764499997</v>
      </c>
      <c r="D8" s="84">
        <v>65600</v>
      </c>
      <c r="E8" s="81">
        <v>0.52495143121200005</v>
      </c>
      <c r="F8" s="1">
        <v>65099.999999999993</v>
      </c>
      <c r="G8" s="94">
        <v>0.189883982984</v>
      </c>
      <c r="H8" s="94">
        <v>65550</v>
      </c>
      <c r="I8" s="81">
        <v>0.50905835502200003</v>
      </c>
      <c r="J8" s="1">
        <v>65000</v>
      </c>
      <c r="K8" s="94">
        <v>1.04628203569</v>
      </c>
      <c r="L8" s="84">
        <v>65400.000000000007</v>
      </c>
      <c r="M8" s="1">
        <v>0.32608964580400002</v>
      </c>
      <c r="N8" s="1">
        <v>64950</v>
      </c>
      <c r="O8" s="94">
        <v>0.31442689648599997</v>
      </c>
      <c r="P8" s="83">
        <v>65099.999999999993</v>
      </c>
      <c r="Q8" s="97"/>
      <c r="R8" s="97"/>
      <c r="S8" s="97"/>
    </row>
    <row r="9" spans="1:19">
      <c r="A9" s="1">
        <v>0.306164800372</v>
      </c>
      <c r="B9" s="1">
        <v>65200</v>
      </c>
      <c r="C9" s="94">
        <v>0.75469129385300004</v>
      </c>
      <c r="D9" s="84">
        <v>65800</v>
      </c>
      <c r="E9" s="81">
        <v>0.50107551065300004</v>
      </c>
      <c r="F9" s="1">
        <v>65250</v>
      </c>
      <c r="G9" s="94">
        <v>0.65146121882800001</v>
      </c>
      <c r="H9" s="94">
        <v>65700</v>
      </c>
      <c r="I9" s="81">
        <v>0.480074165793</v>
      </c>
      <c r="J9" s="1">
        <v>65099.999999999993</v>
      </c>
      <c r="K9" s="94">
        <v>0.49552434721499999</v>
      </c>
      <c r="L9" s="84">
        <v>65500</v>
      </c>
      <c r="M9" s="1">
        <v>0.10354829758799999</v>
      </c>
      <c r="N9" s="1">
        <v>64950</v>
      </c>
      <c r="O9" s="94">
        <v>0.41444110398799999</v>
      </c>
      <c r="P9" s="83">
        <v>65150.000000000007</v>
      </c>
      <c r="Q9" s="97"/>
      <c r="R9" s="97"/>
      <c r="S9" s="97"/>
    </row>
    <row r="10" spans="1:19">
      <c r="A10" s="1">
        <v>0.66249959020799998</v>
      </c>
      <c r="B10" s="1">
        <v>65200</v>
      </c>
      <c r="C10" s="94">
        <v>0.68517242057000005</v>
      </c>
      <c r="D10" s="84">
        <v>66000</v>
      </c>
      <c r="E10" s="81">
        <v>0.99852156406199999</v>
      </c>
      <c r="F10" s="1">
        <v>65250</v>
      </c>
      <c r="G10" s="94">
        <v>0.62541097548199998</v>
      </c>
      <c r="H10" s="94">
        <v>65850</v>
      </c>
      <c r="I10" s="81">
        <v>0.156829620571</v>
      </c>
      <c r="J10" s="1">
        <v>65200</v>
      </c>
      <c r="K10" s="94">
        <v>0.21241151838200001</v>
      </c>
      <c r="L10" s="84">
        <v>65600</v>
      </c>
      <c r="M10" s="1">
        <v>0.26038238544999998</v>
      </c>
      <c r="N10" s="1">
        <v>65000</v>
      </c>
      <c r="O10" s="94">
        <v>0.31696036924400001</v>
      </c>
      <c r="P10" s="83">
        <v>65200</v>
      </c>
      <c r="Q10" s="97"/>
      <c r="R10" s="97"/>
      <c r="S10" s="97"/>
    </row>
    <row r="11" spans="1:19">
      <c r="A11" s="1">
        <v>0.27977091659300002</v>
      </c>
      <c r="B11" s="1">
        <v>65200</v>
      </c>
      <c r="C11" s="94">
        <v>0.90518341071599995</v>
      </c>
      <c r="D11" s="84">
        <v>66200</v>
      </c>
      <c r="E11" s="81">
        <v>0.27977091659300002</v>
      </c>
      <c r="F11" s="1">
        <v>65250</v>
      </c>
      <c r="G11" s="94">
        <v>0.656910241565</v>
      </c>
      <c r="H11" s="94">
        <v>66000</v>
      </c>
      <c r="I11" s="81">
        <v>0.56152031114699996</v>
      </c>
      <c r="J11" s="1">
        <v>65200</v>
      </c>
      <c r="K11" s="94">
        <v>0.651867830057</v>
      </c>
      <c r="L11" s="84">
        <v>65700</v>
      </c>
      <c r="M11" s="1">
        <v>0.36853269609200001</v>
      </c>
      <c r="N11" s="1">
        <v>65000</v>
      </c>
      <c r="O11" s="94">
        <v>0.310683443063</v>
      </c>
      <c r="P11" s="83">
        <v>65250</v>
      </c>
      <c r="Q11" s="97"/>
      <c r="R11" s="97"/>
      <c r="S11" s="97"/>
    </row>
    <row r="12" spans="1:19">
      <c r="A12" s="1">
        <v>1.19357225373</v>
      </c>
      <c r="B12" s="1">
        <v>65400.000000000007</v>
      </c>
      <c r="C12" s="94">
        <v>0.63304003223299998</v>
      </c>
      <c r="D12" s="84">
        <v>66400</v>
      </c>
      <c r="E12" s="81">
        <v>1.0674416549200001</v>
      </c>
      <c r="F12" s="1">
        <v>65400.000000000007</v>
      </c>
      <c r="G12" s="94">
        <v>1.01374005296</v>
      </c>
      <c r="H12" s="94">
        <v>66150</v>
      </c>
      <c r="I12" s="81">
        <v>0.16972267032400001</v>
      </c>
      <c r="J12" s="1">
        <v>65200</v>
      </c>
      <c r="K12" s="94">
        <v>0.468941332401</v>
      </c>
      <c r="L12" s="84">
        <v>65800</v>
      </c>
      <c r="M12" s="1">
        <v>0.27340117212300002</v>
      </c>
      <c r="N12" s="1">
        <v>65050</v>
      </c>
      <c r="O12" s="94">
        <v>0.208507569369</v>
      </c>
      <c r="P12" s="83">
        <v>65300</v>
      </c>
      <c r="Q12" s="97"/>
      <c r="R12" s="97"/>
      <c r="S12" s="97"/>
    </row>
    <row r="13" spans="1:19">
      <c r="A13" s="1">
        <v>0.533629417035</v>
      </c>
      <c r="B13" s="1">
        <v>65400.000000000007</v>
      </c>
      <c r="C13" s="94">
        <v>0.66331344605099996</v>
      </c>
      <c r="D13" s="84">
        <v>66600</v>
      </c>
      <c r="E13" s="81">
        <v>0.59617318454199997</v>
      </c>
      <c r="F13" s="1">
        <v>65400.000000000007</v>
      </c>
      <c r="G13" s="94">
        <v>0.92801579195399997</v>
      </c>
      <c r="H13" s="94">
        <v>66300</v>
      </c>
      <c r="I13" s="81">
        <v>0.53166215959399998</v>
      </c>
      <c r="J13" s="1">
        <v>65300</v>
      </c>
      <c r="K13" s="94">
        <v>0.40228247210700002</v>
      </c>
      <c r="L13" s="84">
        <v>65900</v>
      </c>
      <c r="M13" s="1">
        <v>0.31442689648599997</v>
      </c>
      <c r="N13" s="1">
        <v>65099.999999999993</v>
      </c>
      <c r="O13" s="94">
        <v>0.34778465228</v>
      </c>
      <c r="P13" s="83">
        <v>65349.999999999993</v>
      </c>
      <c r="Q13" s="97"/>
      <c r="R13" s="97"/>
      <c r="S13" s="97"/>
    </row>
    <row r="14" spans="1:19">
      <c r="A14" s="1">
        <v>0.112154735081</v>
      </c>
      <c r="B14" s="1">
        <v>65400.000000000007</v>
      </c>
      <c r="C14" s="94">
        <v>0.42400597683500002</v>
      </c>
      <c r="D14" s="84">
        <v>66800</v>
      </c>
      <c r="E14" s="81">
        <v>2.38552531225E-2</v>
      </c>
      <c r="F14" s="1">
        <v>65400.000000000007</v>
      </c>
      <c r="G14" s="94">
        <v>0.53148124322599999</v>
      </c>
      <c r="H14" s="94">
        <v>66450</v>
      </c>
      <c r="I14" s="81">
        <v>0.30327212274400001</v>
      </c>
      <c r="J14" s="1">
        <v>65300</v>
      </c>
      <c r="K14" s="94">
        <v>0.471967025634</v>
      </c>
      <c r="L14" s="84">
        <v>66000</v>
      </c>
      <c r="M14" s="1">
        <v>0.41444110398799999</v>
      </c>
      <c r="N14" s="1">
        <v>65150.000000000007</v>
      </c>
      <c r="O14" s="94">
        <v>0.92819747190900004</v>
      </c>
      <c r="P14" s="83">
        <v>65400.000000000007</v>
      </c>
      <c r="Q14" s="97"/>
      <c r="R14" s="97"/>
      <c r="S14" s="97"/>
    </row>
    <row r="15" spans="1:19">
      <c r="A15" s="1">
        <v>0.64661705108900003</v>
      </c>
      <c r="B15" s="1">
        <v>65400.000000000007</v>
      </c>
      <c r="C15" s="94">
        <v>9.3103118709499999E-2</v>
      </c>
      <c r="D15" s="84">
        <v>67000</v>
      </c>
      <c r="E15" s="81">
        <v>2.61435978624E-2</v>
      </c>
      <c r="F15" s="1">
        <v>65550</v>
      </c>
      <c r="G15" s="94">
        <v>0.76714554559299997</v>
      </c>
      <c r="H15" s="94">
        <v>66600</v>
      </c>
      <c r="I15" s="81">
        <v>1.30955293823</v>
      </c>
      <c r="J15" s="1">
        <v>65400.000000000007</v>
      </c>
      <c r="K15" s="94">
        <v>0.76811210203299995</v>
      </c>
      <c r="L15" s="84">
        <v>66100</v>
      </c>
      <c r="M15" s="1">
        <v>0.464198068164</v>
      </c>
      <c r="N15" s="1">
        <v>65200</v>
      </c>
      <c r="O15" s="94">
        <v>0.56540842697600002</v>
      </c>
      <c r="P15" s="83">
        <v>65450</v>
      </c>
      <c r="Q15" s="97"/>
      <c r="R15" s="97"/>
      <c r="S15" s="97"/>
    </row>
    <row r="16" spans="1:19">
      <c r="A16" s="1">
        <v>2.61435978624E-2</v>
      </c>
      <c r="B16" s="1">
        <v>65600</v>
      </c>
      <c r="C16" s="94">
        <v>0.10210451940199999</v>
      </c>
      <c r="D16" s="84">
        <v>67200</v>
      </c>
      <c r="E16" s="81">
        <v>0.28666024931599998</v>
      </c>
      <c r="F16" s="1">
        <v>65550</v>
      </c>
      <c r="G16" s="94">
        <v>0.61378926406699996</v>
      </c>
      <c r="H16" s="94">
        <v>66750</v>
      </c>
      <c r="I16" s="81">
        <v>0.78301113316399995</v>
      </c>
      <c r="J16" s="1">
        <v>65400.000000000007</v>
      </c>
      <c r="K16" s="94">
        <v>0.81528857925800002</v>
      </c>
      <c r="L16" s="84">
        <v>66200</v>
      </c>
      <c r="M16" s="1">
        <v>0.16972267032400001</v>
      </c>
      <c r="N16" s="1">
        <v>65200</v>
      </c>
      <c r="O16" s="94">
        <v>0.24137692815199999</v>
      </c>
      <c r="P16" s="83">
        <v>65500</v>
      </c>
      <c r="Q16" s="97"/>
      <c r="R16" s="97"/>
      <c r="S16" s="97"/>
    </row>
    <row r="17" spans="1:19">
      <c r="A17" s="1">
        <v>0.29109792084399999</v>
      </c>
      <c r="B17" s="1">
        <v>65600</v>
      </c>
      <c r="C17" s="94">
        <v>0.60930763953199996</v>
      </c>
      <c r="D17" s="84">
        <v>67800</v>
      </c>
      <c r="E17" s="81">
        <v>0.11456423882900001</v>
      </c>
      <c r="F17" s="1">
        <v>65550</v>
      </c>
      <c r="G17" s="94">
        <v>0.22573985379799999</v>
      </c>
      <c r="H17" s="94">
        <v>66900</v>
      </c>
      <c r="I17" s="81">
        <v>1.02484691389</v>
      </c>
      <c r="J17" s="1">
        <v>65500</v>
      </c>
      <c r="K17" s="94">
        <v>0.87155248681499997</v>
      </c>
      <c r="L17" s="84">
        <v>66300</v>
      </c>
      <c r="M17" s="1">
        <v>0.20986225475299999</v>
      </c>
      <c r="N17" s="1">
        <v>65250</v>
      </c>
      <c r="O17" s="94">
        <v>0.21688975290699999</v>
      </c>
      <c r="P17" s="83">
        <v>65550</v>
      </c>
      <c r="Q17" s="97"/>
      <c r="R17" s="97"/>
      <c r="S17" s="97"/>
    </row>
    <row r="18" spans="1:19">
      <c r="A18" s="1">
        <v>0.80817007417999998</v>
      </c>
      <c r="B18" s="1">
        <v>65600</v>
      </c>
      <c r="C18" s="94">
        <v>0.265655338932</v>
      </c>
      <c r="D18" s="84">
        <v>68400</v>
      </c>
      <c r="E18" s="81">
        <v>0.21487648251700001</v>
      </c>
      <c r="F18" s="1">
        <v>65550</v>
      </c>
      <c r="G18" s="94">
        <v>0.12932341021800001</v>
      </c>
      <c r="H18" s="94">
        <v>67050</v>
      </c>
      <c r="I18" s="81">
        <v>0.36294569131999999</v>
      </c>
      <c r="J18" s="1">
        <v>65500</v>
      </c>
      <c r="K18" s="94">
        <v>0.52907038528799999</v>
      </c>
      <c r="L18" s="84">
        <v>66400</v>
      </c>
      <c r="M18" s="1">
        <v>0.41150463137400001</v>
      </c>
      <c r="N18" s="1">
        <v>65250</v>
      </c>
      <c r="O18" s="94">
        <v>0.138411631284</v>
      </c>
      <c r="P18" s="83">
        <v>65600</v>
      </c>
      <c r="Q18" s="97"/>
      <c r="R18" s="97"/>
      <c r="S18" s="97"/>
    </row>
    <row r="19" spans="1:19">
      <c r="A19" s="1">
        <v>1.0054293394</v>
      </c>
      <c r="B19" s="1">
        <v>65600</v>
      </c>
      <c r="C19" s="94">
        <v>1.0270109430700001</v>
      </c>
      <c r="D19" s="84">
        <v>68600</v>
      </c>
      <c r="E19" s="81">
        <v>0.30717534639400002</v>
      </c>
      <c r="F19" s="1">
        <v>65550</v>
      </c>
      <c r="G19" s="94">
        <v>6.8137256507199997E-2</v>
      </c>
      <c r="H19" s="94">
        <v>67200</v>
      </c>
      <c r="I19" s="81">
        <v>0.13603673338200001</v>
      </c>
      <c r="J19" s="1">
        <v>65500</v>
      </c>
      <c r="K19" s="94">
        <v>0.44675954349000002</v>
      </c>
      <c r="L19" s="84">
        <v>66500</v>
      </c>
      <c r="M19" s="1">
        <v>0.208507569369</v>
      </c>
      <c r="N19" s="1">
        <v>65300</v>
      </c>
      <c r="O19" s="94">
        <v>0.29079003713399998</v>
      </c>
      <c r="P19" s="83">
        <v>65650</v>
      </c>
      <c r="Q19" s="97"/>
      <c r="R19" s="97"/>
      <c r="S19" s="97"/>
    </row>
    <row r="20" spans="1:19">
      <c r="A20" s="1">
        <v>0.32292612719000002</v>
      </c>
      <c r="B20" s="1">
        <v>65600</v>
      </c>
      <c r="C20" s="94">
        <v>0.43949740786300001</v>
      </c>
      <c r="D20" s="84">
        <v>68800</v>
      </c>
      <c r="E20" s="81">
        <v>0.42898597103800001</v>
      </c>
      <c r="F20" s="1">
        <v>65700</v>
      </c>
      <c r="G20" s="94">
        <v>0.60930763953199996</v>
      </c>
      <c r="H20" s="94">
        <v>67800</v>
      </c>
      <c r="I20" s="81">
        <v>0.64661705108900003</v>
      </c>
      <c r="J20" s="1">
        <v>65500</v>
      </c>
      <c r="K20" s="94">
        <v>0.748515423816</v>
      </c>
      <c r="L20" s="84">
        <v>66600</v>
      </c>
      <c r="M20" s="1">
        <v>0.39538093440099997</v>
      </c>
      <c r="N20" s="1">
        <v>65349.999999999993</v>
      </c>
      <c r="O20" s="94">
        <v>0.66689453680900002</v>
      </c>
      <c r="P20" s="83">
        <v>65700</v>
      </c>
      <c r="Q20" s="97"/>
      <c r="R20" s="97"/>
      <c r="S20" s="97"/>
    </row>
    <row r="21" spans="1:19">
      <c r="A21" s="1">
        <v>0.30717534639400002</v>
      </c>
      <c r="B21" s="1">
        <v>65600</v>
      </c>
      <c r="C21" s="94"/>
      <c r="D21" s="84"/>
      <c r="E21" s="81">
        <v>0.87518795433399998</v>
      </c>
      <c r="F21" s="1">
        <v>65700</v>
      </c>
      <c r="G21" s="94"/>
      <c r="H21" s="94"/>
      <c r="I21" s="81">
        <v>0.30717534639400002</v>
      </c>
      <c r="J21" s="1">
        <v>65500</v>
      </c>
      <c r="K21" s="94">
        <v>0.370634942124</v>
      </c>
      <c r="L21" s="84">
        <v>66700</v>
      </c>
      <c r="M21" s="1">
        <v>0.30018837015900002</v>
      </c>
      <c r="N21" s="1">
        <v>65349.999999999993</v>
      </c>
      <c r="O21" s="94">
        <v>0.24036025049400001</v>
      </c>
      <c r="P21" s="83">
        <v>65750</v>
      </c>
      <c r="Q21" s="97"/>
      <c r="R21" s="97"/>
      <c r="S21" s="97"/>
    </row>
    <row r="22" spans="1:19">
      <c r="A22" s="1">
        <v>0.57596079558000002</v>
      </c>
      <c r="B22" s="1">
        <v>65800</v>
      </c>
      <c r="C22" s="94"/>
      <c r="D22" s="84"/>
      <c r="E22" s="81">
        <v>1.0054293394</v>
      </c>
      <c r="F22" s="1">
        <v>65700</v>
      </c>
      <c r="G22" s="94"/>
      <c r="H22" s="94"/>
      <c r="I22" s="81">
        <v>0.20994655424799999</v>
      </c>
      <c r="J22" s="1">
        <v>65600</v>
      </c>
      <c r="K22" s="94">
        <v>0.46379149835299999</v>
      </c>
      <c r="L22" s="84">
        <v>66800</v>
      </c>
      <c r="M22" s="1">
        <v>0.92819747190900004</v>
      </c>
      <c r="N22" s="1">
        <v>65400.000000000007</v>
      </c>
      <c r="O22" s="94">
        <v>1.01841835355</v>
      </c>
      <c r="P22" s="83">
        <v>65800</v>
      </c>
      <c r="Q22" s="97"/>
      <c r="R22" s="97"/>
    </row>
    <row r="23" spans="1:19">
      <c r="A23" s="1">
        <v>0.17566447033300001</v>
      </c>
      <c r="B23" s="1">
        <v>65800</v>
      </c>
      <c r="C23" s="94"/>
      <c r="D23" s="84"/>
      <c r="E23" s="81">
        <v>0.65549313521100006</v>
      </c>
      <c r="F23" s="1">
        <v>65700</v>
      </c>
      <c r="G23" s="94"/>
      <c r="H23" s="94"/>
      <c r="I23" s="81">
        <v>0.21487648251700001</v>
      </c>
      <c r="J23" s="1">
        <v>65600</v>
      </c>
      <c r="K23" s="94">
        <v>8.5928589003000003E-2</v>
      </c>
      <c r="L23" s="84">
        <v>66900</v>
      </c>
      <c r="M23" s="1">
        <v>0.952345612171</v>
      </c>
      <c r="N23" s="1">
        <v>65450</v>
      </c>
      <c r="O23" s="94">
        <v>0.71590420397200005</v>
      </c>
      <c r="P23" s="83">
        <v>65850</v>
      </c>
      <c r="Q23" s="97"/>
      <c r="R23" s="97"/>
    </row>
    <row r="24" spans="1:19">
      <c r="A24" s="1">
        <v>0.87447672804900001</v>
      </c>
      <c r="B24" s="1">
        <v>65800</v>
      </c>
      <c r="C24" s="94"/>
      <c r="D24" s="84"/>
      <c r="E24" s="81">
        <v>0.292209694154</v>
      </c>
      <c r="F24" s="1">
        <v>65700</v>
      </c>
      <c r="G24" s="94"/>
      <c r="H24" s="94"/>
      <c r="I24" s="81">
        <v>0.43101902718500001</v>
      </c>
      <c r="J24" s="1">
        <v>65700</v>
      </c>
      <c r="K24" s="94">
        <v>0.12932341021800001</v>
      </c>
      <c r="L24" s="84">
        <v>67100</v>
      </c>
      <c r="M24" s="1">
        <v>0.178471241782</v>
      </c>
      <c r="N24" s="1">
        <v>65450</v>
      </c>
      <c r="O24" s="94">
        <v>0.29610515363700002</v>
      </c>
      <c r="P24" s="83">
        <v>65900</v>
      </c>
      <c r="Q24" s="97"/>
      <c r="R24" s="97"/>
    </row>
    <row r="25" spans="1:19">
      <c r="A25" s="1">
        <v>0.61572616288399995</v>
      </c>
      <c r="B25" s="1">
        <v>65800</v>
      </c>
      <c r="C25" s="94"/>
      <c r="D25" s="84"/>
      <c r="E25" s="81">
        <v>0.16049337780799999</v>
      </c>
      <c r="F25" s="1">
        <v>65850</v>
      </c>
      <c r="G25" s="94"/>
      <c r="H25" s="94"/>
      <c r="I25" s="81">
        <v>0.87518795433399998</v>
      </c>
      <c r="J25" s="1">
        <v>65700</v>
      </c>
      <c r="K25" s="94">
        <v>6.8137256507199997E-2</v>
      </c>
      <c r="L25" s="84">
        <v>67200</v>
      </c>
      <c r="M25" s="1">
        <v>2.61435978624E-2</v>
      </c>
      <c r="N25" s="1">
        <v>65500</v>
      </c>
      <c r="O25" s="94">
        <v>0.34481731798100002</v>
      </c>
      <c r="P25" s="83">
        <v>65950</v>
      </c>
      <c r="Q25" s="97"/>
      <c r="R25" s="97"/>
    </row>
    <row r="26" spans="1:19">
      <c r="A26" s="1">
        <v>0.33996990057499998</v>
      </c>
      <c r="B26" s="1">
        <v>65800</v>
      </c>
      <c r="C26" s="94"/>
      <c r="E26" s="81">
        <v>0.67247296221899999</v>
      </c>
      <c r="F26" s="1">
        <v>65850</v>
      </c>
      <c r="G26" s="94"/>
      <c r="H26" s="94"/>
      <c r="I26" s="81">
        <v>1.0054293394</v>
      </c>
      <c r="J26" s="1">
        <v>65700</v>
      </c>
      <c r="K26" s="94"/>
      <c r="M26" s="1">
        <v>0.51762452952399995</v>
      </c>
      <c r="N26" s="1">
        <v>65500</v>
      </c>
      <c r="O26" s="94">
        <v>0.42550468471699998</v>
      </c>
      <c r="P26" s="83">
        <v>66000</v>
      </c>
      <c r="Q26" s="97"/>
      <c r="R26" s="97"/>
    </row>
    <row r="27" spans="1:19">
      <c r="A27" s="1">
        <v>0.99176556031700003</v>
      </c>
      <c r="B27" s="1">
        <v>65800</v>
      </c>
      <c r="C27" s="94"/>
      <c r="E27" s="81">
        <v>0.29643313901099999</v>
      </c>
      <c r="F27" s="1">
        <v>65850</v>
      </c>
      <c r="G27" s="94"/>
      <c r="H27" s="94"/>
      <c r="I27" s="81">
        <v>0.65549313521100006</v>
      </c>
      <c r="J27" s="1">
        <v>65700</v>
      </c>
      <c r="K27" s="94"/>
      <c r="M27" s="1">
        <v>0.11456423882900001</v>
      </c>
      <c r="N27" s="1">
        <v>65500</v>
      </c>
      <c r="O27" s="94">
        <v>0.80922588154200004</v>
      </c>
      <c r="P27" s="83">
        <v>66050</v>
      </c>
      <c r="Q27" s="97"/>
      <c r="R27" s="97"/>
      <c r="S27" s="1"/>
    </row>
    <row r="28" spans="1:19">
      <c r="A28" s="1">
        <v>1.3623570248500001</v>
      </c>
      <c r="B28" s="1">
        <v>65800</v>
      </c>
      <c r="C28" s="94"/>
      <c r="E28" s="81">
        <v>0.95317989065200004</v>
      </c>
      <c r="F28" s="1">
        <v>65850</v>
      </c>
      <c r="G28" s="94"/>
      <c r="H28" s="94"/>
      <c r="I28" s="81">
        <v>0.292209694154</v>
      </c>
      <c r="J28" s="1">
        <v>65700</v>
      </c>
      <c r="K28" s="94"/>
      <c r="M28" s="1">
        <v>0.30717534639400002</v>
      </c>
      <c r="N28" s="1">
        <v>65500</v>
      </c>
      <c r="O28" s="94">
        <v>0.69055021930000005</v>
      </c>
      <c r="P28" s="83">
        <v>66100</v>
      </c>
      <c r="Q28" s="97"/>
      <c r="R28" s="97"/>
    </row>
    <row r="29" spans="1:19">
      <c r="A29" s="1">
        <v>1.10160970824</v>
      </c>
      <c r="B29" s="1">
        <v>65800</v>
      </c>
      <c r="C29" s="94"/>
      <c r="E29" s="81">
        <v>0.96799051765499999</v>
      </c>
      <c r="F29" s="1">
        <v>65850</v>
      </c>
      <c r="G29" s="94"/>
      <c r="H29" s="94"/>
      <c r="I29" s="81">
        <v>0.13438225516399999</v>
      </c>
      <c r="J29" s="1">
        <v>65800</v>
      </c>
      <c r="K29" s="94"/>
      <c r="M29" s="1">
        <v>0.21688975290699999</v>
      </c>
      <c r="N29" s="1">
        <v>65550</v>
      </c>
      <c r="O29" s="94">
        <v>0.78433649638699998</v>
      </c>
      <c r="P29" s="83">
        <v>66150</v>
      </c>
      <c r="Q29" s="97"/>
      <c r="R29" s="97"/>
    </row>
    <row r="30" spans="1:19">
      <c r="A30" s="1">
        <v>1.10776839078</v>
      </c>
      <c r="B30" s="1">
        <v>66000</v>
      </c>
      <c r="C30" s="94"/>
      <c r="E30" s="81">
        <v>0.70189596554400002</v>
      </c>
      <c r="F30" s="1">
        <v>65850</v>
      </c>
      <c r="G30" s="94"/>
      <c r="H30" s="94"/>
      <c r="I30" s="81">
        <v>9.3077294690000006E-2</v>
      </c>
      <c r="J30" s="1">
        <v>65800</v>
      </c>
      <c r="K30" s="94"/>
      <c r="M30" s="1">
        <v>0.138411631284</v>
      </c>
      <c r="N30" s="1">
        <v>65600</v>
      </c>
      <c r="O30" s="94">
        <v>0.71917229361599999</v>
      </c>
      <c r="P30" s="83">
        <v>66200</v>
      </c>
      <c r="Q30" s="97"/>
      <c r="R30" s="97"/>
    </row>
    <row r="31" spans="1:19">
      <c r="A31" s="1">
        <v>0.28839815057099999</v>
      </c>
      <c r="B31" s="1">
        <v>66000</v>
      </c>
      <c r="C31" s="94"/>
      <c r="E31" s="81">
        <v>0.43197824112200001</v>
      </c>
      <c r="F31" s="1">
        <v>66000</v>
      </c>
      <c r="G31" s="94"/>
      <c r="H31" s="94"/>
      <c r="I31" s="81">
        <v>8.0410405047199998E-2</v>
      </c>
      <c r="J31" s="1">
        <v>65800</v>
      </c>
      <c r="K31" s="94"/>
      <c r="M31" s="1">
        <v>0.29079003713399998</v>
      </c>
      <c r="N31" s="1">
        <v>65650</v>
      </c>
      <c r="O31" s="94">
        <v>0.54976159112</v>
      </c>
      <c r="P31" s="83">
        <v>66250</v>
      </c>
      <c r="Q31" s="97"/>
      <c r="R31" s="97"/>
    </row>
    <row r="32" spans="1:19">
      <c r="A32" s="1">
        <v>0.66466413883099995</v>
      </c>
      <c r="B32" s="1">
        <v>66000</v>
      </c>
      <c r="C32" s="94"/>
      <c r="E32" s="81">
        <v>0.27196785160300002</v>
      </c>
      <c r="F32" s="1">
        <v>66000</v>
      </c>
      <c r="G32" s="94"/>
      <c r="H32" s="94"/>
      <c r="I32" s="81">
        <v>0.50192100915399995</v>
      </c>
      <c r="J32" s="1">
        <v>65800</v>
      </c>
      <c r="K32" s="94"/>
      <c r="M32" s="1">
        <v>0.445151951825</v>
      </c>
      <c r="N32" s="1">
        <v>65700</v>
      </c>
      <c r="O32" s="94">
        <v>0.69094642273600004</v>
      </c>
      <c r="P32" s="83">
        <v>66300</v>
      </c>
      <c r="Q32" s="97"/>
      <c r="R32" s="97"/>
    </row>
    <row r="33" spans="1:18">
      <c r="A33" s="1">
        <v>0.87924824798099999</v>
      </c>
      <c r="B33" s="1">
        <v>66000</v>
      </c>
      <c r="C33" s="94"/>
      <c r="E33" s="81">
        <v>0.54887009561900002</v>
      </c>
      <c r="F33" s="1">
        <v>66000</v>
      </c>
      <c r="G33" s="94"/>
      <c r="H33" s="94"/>
      <c r="I33" s="81">
        <v>1.53491569795</v>
      </c>
      <c r="J33" s="1">
        <v>65800</v>
      </c>
      <c r="K33" s="94"/>
      <c r="M33" s="1">
        <v>0.88863712179300003</v>
      </c>
      <c r="N33" s="1">
        <v>65700</v>
      </c>
      <c r="O33" s="94">
        <v>0.56200635965599999</v>
      </c>
      <c r="P33" s="83">
        <v>66350</v>
      </c>
      <c r="Q33" s="97"/>
      <c r="R33" s="97"/>
    </row>
    <row r="34" spans="1:18">
      <c r="A34" s="1">
        <v>0.72785402088399997</v>
      </c>
      <c r="B34" s="1">
        <v>66000</v>
      </c>
      <c r="C34" s="94"/>
      <c r="E34" s="81">
        <v>0.44707947276900001</v>
      </c>
      <c r="F34" s="1">
        <v>66000</v>
      </c>
      <c r="G34" s="94"/>
      <c r="H34" s="94"/>
      <c r="I34" s="81">
        <v>0.16049337780799999</v>
      </c>
      <c r="J34" s="1">
        <v>65900</v>
      </c>
      <c r="K34" s="94"/>
      <c r="M34" s="1">
        <v>0.140750600414</v>
      </c>
      <c r="N34" s="1">
        <v>65750</v>
      </c>
      <c r="O34" s="94">
        <v>0.43757017803100001</v>
      </c>
      <c r="P34" s="83">
        <v>66400</v>
      </c>
      <c r="Q34" s="97"/>
      <c r="R34" s="97"/>
    </row>
    <row r="35" spans="1:18">
      <c r="A35" s="1">
        <v>0.405887775507</v>
      </c>
      <c r="B35" s="1">
        <v>66000</v>
      </c>
      <c r="C35" s="94"/>
      <c r="E35" s="81">
        <v>0.31222136577499998</v>
      </c>
      <c r="F35" s="1">
        <v>66000</v>
      </c>
      <c r="G35" s="94"/>
      <c r="H35" s="94"/>
      <c r="I35" s="81">
        <v>0.78037085263499995</v>
      </c>
      <c r="J35" s="1">
        <v>65900</v>
      </c>
      <c r="K35" s="94"/>
      <c r="M35" s="1">
        <v>0.33996990057499998</v>
      </c>
      <c r="N35" s="1">
        <v>65750</v>
      </c>
      <c r="O35" s="94">
        <v>0.28340799334900002</v>
      </c>
      <c r="P35" s="83">
        <v>66450</v>
      </c>
      <c r="Q35" s="97"/>
      <c r="R35" s="97"/>
    </row>
    <row r="36" spans="1:18">
      <c r="A36" s="1">
        <v>0.62632213450899998</v>
      </c>
      <c r="B36" s="1">
        <v>66000</v>
      </c>
      <c r="C36" s="94"/>
      <c r="E36" s="81">
        <v>0.54805967590600002</v>
      </c>
      <c r="F36" s="1">
        <v>66000</v>
      </c>
      <c r="G36" s="94"/>
      <c r="H36" s="94"/>
      <c r="I36" s="81">
        <v>0.34792454330900002</v>
      </c>
      <c r="J36" s="1">
        <v>65900</v>
      </c>
      <c r="K36" s="94"/>
      <c r="M36" s="1">
        <v>0.50192100915399995</v>
      </c>
      <c r="N36" s="1">
        <v>65800</v>
      </c>
      <c r="O36" s="94">
        <v>0.548597943586</v>
      </c>
      <c r="P36" s="83">
        <v>66500</v>
      </c>
      <c r="Q36" s="97"/>
      <c r="R36" s="97"/>
    </row>
    <row r="37" spans="1:18">
      <c r="A37" s="1">
        <v>0.71452740767900003</v>
      </c>
      <c r="B37" s="1">
        <v>66000</v>
      </c>
      <c r="C37" s="94"/>
      <c r="E37" s="81">
        <v>0.70101988319099995</v>
      </c>
      <c r="F37" s="1">
        <v>66000</v>
      </c>
      <c r="G37" s="94"/>
      <c r="H37" s="94"/>
      <c r="I37" s="81">
        <v>0.64532701176999996</v>
      </c>
      <c r="J37" s="1">
        <v>65900</v>
      </c>
      <c r="K37" s="94"/>
      <c r="M37" s="1">
        <v>1.53491569795</v>
      </c>
      <c r="N37" s="1">
        <v>65800</v>
      </c>
      <c r="O37" s="94">
        <v>0.56914722801200002</v>
      </c>
      <c r="P37" s="83">
        <v>66550</v>
      </c>
      <c r="Q37" s="97"/>
      <c r="R37" s="97"/>
    </row>
    <row r="38" spans="1:18">
      <c r="A38" s="1">
        <v>0.54375501296999995</v>
      </c>
      <c r="B38" s="1">
        <v>66000</v>
      </c>
      <c r="C38" s="94"/>
      <c r="E38" s="81">
        <v>0.61865889011899999</v>
      </c>
      <c r="F38" s="1">
        <v>66000</v>
      </c>
      <c r="G38" s="94"/>
      <c r="H38" s="94"/>
      <c r="I38" s="81">
        <v>7.7296575013600002E-2</v>
      </c>
      <c r="J38" s="1">
        <v>65900</v>
      </c>
      <c r="K38" s="94"/>
      <c r="M38" s="1">
        <v>0.59138769483499998</v>
      </c>
      <c r="N38" s="1">
        <v>65850</v>
      </c>
      <c r="O38" s="94">
        <v>1.0147361918</v>
      </c>
      <c r="P38" s="83">
        <v>66600</v>
      </c>
      <c r="Q38" s="97"/>
      <c r="R38" s="97"/>
    </row>
    <row r="39" spans="1:18">
      <c r="A39" s="1">
        <v>0.59679784231300004</v>
      </c>
      <c r="B39" s="1">
        <v>66000</v>
      </c>
      <c r="C39" s="94"/>
      <c r="E39" s="81">
        <v>0.34063299602899999</v>
      </c>
      <c r="F39" s="1">
        <v>66000</v>
      </c>
      <c r="G39" s="94"/>
      <c r="H39" s="94"/>
      <c r="I39" s="81">
        <v>0.116575683083</v>
      </c>
      <c r="J39" s="1">
        <v>66000</v>
      </c>
      <c r="K39" s="94"/>
      <c r="M39" s="1">
        <v>0.62418590007899999</v>
      </c>
      <c r="N39" s="1">
        <v>65850</v>
      </c>
      <c r="O39" s="94">
        <v>0.600453740219</v>
      </c>
      <c r="P39" s="83">
        <v>66650</v>
      </c>
      <c r="Q39" s="97"/>
      <c r="R39" s="97"/>
    </row>
    <row r="40" spans="1:18">
      <c r="A40" s="1">
        <v>0.26668622300700001</v>
      </c>
      <c r="B40" s="1">
        <v>66000</v>
      </c>
      <c r="C40" s="94"/>
      <c r="E40" s="81">
        <v>0.20173542879799999</v>
      </c>
      <c r="F40" s="1">
        <v>66000</v>
      </c>
      <c r="G40" s="94"/>
      <c r="H40" s="94"/>
      <c r="I40" s="81">
        <v>0.21708907515</v>
      </c>
      <c r="J40" s="1">
        <v>66000</v>
      </c>
      <c r="K40" s="94"/>
      <c r="M40" s="1">
        <v>0.93213901700099999</v>
      </c>
      <c r="N40" s="1">
        <v>65850</v>
      </c>
      <c r="O40" s="94">
        <v>0.42290974154700001</v>
      </c>
      <c r="P40" s="83">
        <v>66750</v>
      </c>
      <c r="Q40" s="97"/>
      <c r="R40" s="97"/>
    </row>
    <row r="41" spans="1:18">
      <c r="A41" s="1">
        <v>1.5163660453800001</v>
      </c>
      <c r="B41" s="1">
        <v>66000</v>
      </c>
      <c r="C41" s="94"/>
      <c r="E41" s="81">
        <v>1.1566195696899999</v>
      </c>
      <c r="F41" s="1">
        <v>66000</v>
      </c>
      <c r="G41" s="94"/>
      <c r="H41" s="94"/>
      <c r="I41" s="81">
        <v>1.15521905337</v>
      </c>
      <c r="J41" s="1">
        <v>66000</v>
      </c>
      <c r="K41" s="94"/>
      <c r="M41" s="1">
        <v>0.16049337780799999</v>
      </c>
      <c r="N41" s="1">
        <v>65900</v>
      </c>
      <c r="O41" s="94">
        <v>0.34741835579899999</v>
      </c>
      <c r="P41" s="83">
        <v>66850</v>
      </c>
      <c r="Q41" s="97"/>
      <c r="R41" s="97"/>
    </row>
    <row r="42" spans="1:18">
      <c r="A42" s="1">
        <v>0.93989169273100004</v>
      </c>
      <c r="B42" s="1">
        <v>66000</v>
      </c>
      <c r="C42" s="94"/>
      <c r="E42" s="81">
        <v>0.88912964302800002</v>
      </c>
      <c r="F42" s="1">
        <v>66000</v>
      </c>
      <c r="G42" s="94"/>
      <c r="H42" s="94"/>
      <c r="I42" s="81">
        <v>0.313627185842</v>
      </c>
      <c r="J42" s="1">
        <v>66000</v>
      </c>
      <c r="K42" s="94"/>
      <c r="M42" s="1">
        <v>0.43051925126700002</v>
      </c>
      <c r="N42" s="1">
        <v>65900</v>
      </c>
      <c r="O42" s="94">
        <v>0.13568085135399999</v>
      </c>
      <c r="P42" s="83">
        <v>66900</v>
      </c>
      <c r="Q42" s="97"/>
      <c r="R42" s="97"/>
    </row>
    <row r="43" spans="1:18">
      <c r="A43" s="1">
        <v>0.86918865029299996</v>
      </c>
      <c r="B43" s="1">
        <v>66000</v>
      </c>
      <c r="C43" s="94"/>
      <c r="E43" s="81">
        <v>0.94304271331900003</v>
      </c>
      <c r="F43" s="1">
        <v>66000</v>
      </c>
      <c r="G43" s="94"/>
      <c r="H43" s="94"/>
      <c r="I43" s="81">
        <v>0.37764899925599998</v>
      </c>
      <c r="J43" s="1">
        <v>66000</v>
      </c>
      <c r="K43" s="94"/>
      <c r="M43" s="1">
        <v>9.5186551017800006E-2</v>
      </c>
      <c r="N43" s="1">
        <v>65900</v>
      </c>
      <c r="O43" s="94">
        <v>0.12932341021800001</v>
      </c>
      <c r="P43" s="83">
        <v>67050</v>
      </c>
      <c r="Q43" s="97"/>
      <c r="R43" s="97"/>
    </row>
    <row r="44" spans="1:18">
      <c r="A44" s="1">
        <v>0.879948309155</v>
      </c>
      <c r="B44" s="1">
        <v>66000</v>
      </c>
      <c r="C44" s="94"/>
      <c r="E44" s="81">
        <v>0.93754553150300002</v>
      </c>
      <c r="F44" s="1">
        <v>66000</v>
      </c>
      <c r="G44" s="94"/>
      <c r="H44" s="94"/>
      <c r="I44" s="81">
        <v>0.63327078188599994</v>
      </c>
      <c r="J44" s="1">
        <v>66000</v>
      </c>
      <c r="K44" s="94"/>
      <c r="M44" s="1">
        <v>0.71703001307799996</v>
      </c>
      <c r="N44" s="1">
        <v>65900</v>
      </c>
      <c r="O44" s="94"/>
      <c r="P44" s="83"/>
    </row>
    <row r="45" spans="1:18">
      <c r="A45" s="1">
        <v>0.94304271331900003</v>
      </c>
      <c r="B45" s="1">
        <v>66000</v>
      </c>
      <c r="E45" s="81">
        <v>2.6473624036099999</v>
      </c>
      <c r="F45" s="1">
        <v>66000</v>
      </c>
      <c r="I45" s="81">
        <v>0.23786356925999999</v>
      </c>
      <c r="J45" s="1">
        <v>66000</v>
      </c>
      <c r="M45" s="1">
        <v>7.7296575013600002E-2</v>
      </c>
      <c r="N45" s="1">
        <v>65900</v>
      </c>
    </row>
    <row r="46" spans="1:18">
      <c r="A46" s="1">
        <v>0.89246327303700002</v>
      </c>
      <c r="B46" s="1">
        <v>66000</v>
      </c>
      <c r="E46" s="81">
        <v>9.6017439348299996E-2</v>
      </c>
      <c r="F46" s="1">
        <v>66000</v>
      </c>
      <c r="I46" s="81">
        <v>0.27878490886700003</v>
      </c>
      <c r="J46" s="1">
        <v>66000</v>
      </c>
      <c r="M46" s="1">
        <v>0.134783459735</v>
      </c>
      <c r="N46" s="1">
        <v>65950</v>
      </c>
    </row>
    <row r="47" spans="1:18">
      <c r="A47" s="1">
        <v>1.3598736815000001</v>
      </c>
      <c r="B47" s="1">
        <v>66000</v>
      </c>
      <c r="E47" s="81">
        <v>0.17579896314499999</v>
      </c>
      <c r="F47" s="1">
        <v>66000</v>
      </c>
      <c r="I47" s="81">
        <v>0.55654979802399995</v>
      </c>
      <c r="J47" s="1">
        <v>66000</v>
      </c>
      <c r="M47" s="1">
        <v>0.32604448374700001</v>
      </c>
      <c r="N47" s="1">
        <v>65950</v>
      </c>
    </row>
    <row r="48" spans="1:18">
      <c r="A48" s="1">
        <v>9.6017439348299996E-2</v>
      </c>
      <c r="B48" s="1">
        <v>66000</v>
      </c>
      <c r="E48" s="81">
        <v>3.0454903587199999E-2</v>
      </c>
      <c r="F48" s="1">
        <v>66000</v>
      </c>
      <c r="I48" s="81">
        <v>0.93743235704899996</v>
      </c>
      <c r="J48" s="1">
        <v>66000</v>
      </c>
      <c r="M48" s="1">
        <v>0.57362401046199996</v>
      </c>
      <c r="N48" s="1">
        <v>65950</v>
      </c>
    </row>
    <row r="49" spans="1:14">
      <c r="A49" s="1">
        <v>0.58003277479299997</v>
      </c>
      <c r="B49" s="1">
        <v>66000</v>
      </c>
      <c r="E49" s="81">
        <v>1.18309952158</v>
      </c>
      <c r="F49" s="1">
        <v>66000</v>
      </c>
      <c r="I49" s="81">
        <v>9.6017439348299996E-2</v>
      </c>
      <c r="J49" s="1">
        <v>66000</v>
      </c>
      <c r="M49" s="1">
        <v>9.79356645464E-2</v>
      </c>
      <c r="N49" s="1">
        <v>66000</v>
      </c>
    </row>
    <row r="50" spans="1:14">
      <c r="A50" s="1">
        <v>4.8496278831699997E-2</v>
      </c>
      <c r="B50" s="1">
        <v>66000</v>
      </c>
      <c r="E50" s="81">
        <v>1.23916846929</v>
      </c>
      <c r="F50" s="1">
        <v>66150</v>
      </c>
      <c r="I50" s="81">
        <v>0.17579896314499999</v>
      </c>
      <c r="J50" s="1">
        <v>66000</v>
      </c>
      <c r="M50" s="1">
        <v>1.23757507093</v>
      </c>
      <c r="N50" s="1">
        <v>66000</v>
      </c>
    </row>
    <row r="51" spans="1:14">
      <c r="A51" s="1">
        <v>0.17579896314499999</v>
      </c>
      <c r="B51" s="1">
        <v>66000</v>
      </c>
      <c r="E51" s="81">
        <v>1.2084078927399999</v>
      </c>
      <c r="F51" s="1">
        <v>66150</v>
      </c>
      <c r="I51" s="81">
        <v>1.0396935189600001</v>
      </c>
      <c r="J51" s="1">
        <v>66000</v>
      </c>
      <c r="M51" s="1">
        <v>0.32407690880200002</v>
      </c>
      <c r="N51" s="1">
        <v>66000</v>
      </c>
    </row>
    <row r="52" spans="1:14">
      <c r="A52" s="1">
        <v>3.0454903587199999E-2</v>
      </c>
      <c r="B52" s="1">
        <v>66000</v>
      </c>
      <c r="E52" s="81">
        <v>1.1411647490300001</v>
      </c>
      <c r="F52" s="1">
        <v>66150</v>
      </c>
      <c r="I52" s="81">
        <v>0.14219683293499999</v>
      </c>
      <c r="J52" s="1">
        <v>66100</v>
      </c>
      <c r="M52" s="1">
        <v>0.18551659934100001</v>
      </c>
      <c r="N52" s="1">
        <v>66000</v>
      </c>
    </row>
    <row r="53" spans="1:14">
      <c r="A53" s="1">
        <v>1.2906540235399999</v>
      </c>
      <c r="B53" s="1">
        <v>66000</v>
      </c>
      <c r="E53" s="81">
        <v>2.14576548887</v>
      </c>
      <c r="F53" s="1">
        <v>66150</v>
      </c>
      <c r="I53" s="81">
        <v>0.96423228356400004</v>
      </c>
      <c r="J53" s="1">
        <v>66100</v>
      </c>
      <c r="M53" s="1">
        <v>0.27770585682900001</v>
      </c>
      <c r="N53" s="1">
        <v>66000</v>
      </c>
    </row>
    <row r="54" spans="1:14">
      <c r="A54" s="1">
        <v>0.90893206047800001</v>
      </c>
      <c r="B54" s="1">
        <v>66200</v>
      </c>
      <c r="E54" s="81">
        <v>1.30092235739</v>
      </c>
      <c r="F54" s="1">
        <v>66150</v>
      </c>
      <c r="I54" s="81">
        <v>0.66466413883099995</v>
      </c>
      <c r="J54" s="1">
        <v>66100</v>
      </c>
      <c r="M54" s="1">
        <v>0.43021800784699998</v>
      </c>
      <c r="N54" s="1">
        <v>66000</v>
      </c>
    </row>
    <row r="55" spans="1:14">
      <c r="A55" s="1">
        <v>1.13376448023</v>
      </c>
      <c r="B55" s="1">
        <v>66200</v>
      </c>
      <c r="E55" s="81">
        <v>1.2567122130599999</v>
      </c>
      <c r="F55" s="1">
        <v>66150</v>
      </c>
      <c r="I55" s="81">
        <v>0.72031767179899997</v>
      </c>
      <c r="J55" s="1">
        <v>66100</v>
      </c>
      <c r="M55" s="1">
        <v>0.43197824112200001</v>
      </c>
      <c r="N55" s="1">
        <v>66050</v>
      </c>
    </row>
    <row r="56" spans="1:14">
      <c r="A56" s="1">
        <v>0.49684705220699998</v>
      </c>
      <c r="B56" s="1">
        <v>66200</v>
      </c>
      <c r="E56" s="81">
        <v>3.22976973993</v>
      </c>
      <c r="F56" s="1">
        <v>66150</v>
      </c>
      <c r="I56" s="81">
        <v>1.7818384784300001</v>
      </c>
      <c r="J56" s="1">
        <v>66100</v>
      </c>
      <c r="M56" s="1">
        <v>0.26222625667100002</v>
      </c>
      <c r="N56" s="1">
        <v>66050</v>
      </c>
    </row>
    <row r="57" spans="1:14">
      <c r="A57" s="1">
        <v>0.90809622657900002</v>
      </c>
      <c r="B57" s="1">
        <v>66200</v>
      </c>
      <c r="E57" s="81">
        <v>0.78658301664499997</v>
      </c>
      <c r="F57" s="1">
        <v>66150</v>
      </c>
      <c r="I57" s="81">
        <v>0.36425826007000001</v>
      </c>
      <c r="J57" s="1">
        <v>66100</v>
      </c>
      <c r="M57" s="1">
        <v>0.54887009561900002</v>
      </c>
      <c r="N57" s="1">
        <v>66050</v>
      </c>
    </row>
    <row r="58" spans="1:14">
      <c r="A58" s="1">
        <v>1.98486007476</v>
      </c>
      <c r="B58" s="1">
        <v>66200</v>
      </c>
      <c r="E58" s="81">
        <v>0.776418136712</v>
      </c>
      <c r="F58" s="1">
        <v>66150</v>
      </c>
      <c r="I58" s="81">
        <v>1.2567122130599999</v>
      </c>
      <c r="J58" s="1">
        <v>66100</v>
      </c>
      <c r="M58" s="1">
        <v>0.44707947276900001</v>
      </c>
      <c r="N58" s="1">
        <v>66050</v>
      </c>
    </row>
    <row r="59" spans="1:14">
      <c r="A59" s="1">
        <v>0.62444273154899999</v>
      </c>
      <c r="B59" s="1">
        <v>66200</v>
      </c>
      <c r="E59" s="81">
        <v>1.7060633970500001</v>
      </c>
      <c r="F59" s="1">
        <v>66150</v>
      </c>
      <c r="I59" s="81">
        <v>0.78216715491699995</v>
      </c>
      <c r="J59" s="1">
        <v>66100</v>
      </c>
      <c r="M59" s="1">
        <v>0.31222136577499998</v>
      </c>
      <c r="N59" s="1">
        <v>66050</v>
      </c>
    </row>
    <row r="60" spans="1:14">
      <c r="A60" s="1">
        <v>1.9910785908199999</v>
      </c>
      <c r="B60" s="1">
        <v>66200</v>
      </c>
      <c r="E60" s="81">
        <v>8.6560550947599998E-2</v>
      </c>
      <c r="F60" s="1">
        <v>66150</v>
      </c>
      <c r="I60" s="81">
        <v>1.2846168632599999</v>
      </c>
      <c r="J60" s="1">
        <v>66100</v>
      </c>
      <c r="M60" s="1">
        <v>1.0525911932400001</v>
      </c>
      <c r="N60" s="1">
        <v>66050</v>
      </c>
    </row>
    <row r="61" spans="1:14">
      <c r="A61" s="1">
        <v>0.78658301664499997</v>
      </c>
      <c r="B61" s="1">
        <v>66200</v>
      </c>
      <c r="E61" s="81">
        <v>1.06933582535</v>
      </c>
      <c r="F61" s="1">
        <v>66150</v>
      </c>
      <c r="I61" s="81">
        <v>1.2871731446400001</v>
      </c>
      <c r="J61" s="1">
        <v>66100</v>
      </c>
      <c r="M61" s="1">
        <v>0.61865889011899999</v>
      </c>
      <c r="N61" s="1">
        <v>66050</v>
      </c>
    </row>
    <row r="62" spans="1:14">
      <c r="A62" s="1">
        <v>0.53992272158099996</v>
      </c>
      <c r="B62" s="1">
        <v>66200</v>
      </c>
      <c r="E62" s="81">
        <v>0.81260265588400005</v>
      </c>
      <c r="F62" s="1">
        <v>66150</v>
      </c>
      <c r="I62" s="81">
        <v>0.28106572216800002</v>
      </c>
      <c r="J62" s="1">
        <v>66100</v>
      </c>
      <c r="M62" s="1">
        <v>0.34063299602899999</v>
      </c>
      <c r="N62" s="1">
        <v>66050</v>
      </c>
    </row>
    <row r="63" spans="1:14">
      <c r="A63" s="1">
        <v>1.16336933692</v>
      </c>
      <c r="B63" s="1">
        <v>66200</v>
      </c>
      <c r="E63" s="81">
        <v>0.58524123999800004</v>
      </c>
      <c r="F63" s="1">
        <v>66150</v>
      </c>
      <c r="I63" s="81">
        <v>0.66409525058399999</v>
      </c>
      <c r="J63" s="1">
        <v>66100</v>
      </c>
      <c r="M63" s="1">
        <v>0.20171806822800001</v>
      </c>
      <c r="N63" s="1">
        <v>66050</v>
      </c>
    </row>
    <row r="64" spans="1:14">
      <c r="A64" s="1">
        <v>0.25923027801499998</v>
      </c>
      <c r="B64" s="1">
        <v>66200</v>
      </c>
      <c r="E64" s="81">
        <v>1.9733151903499999</v>
      </c>
      <c r="F64" s="1">
        <v>66150</v>
      </c>
      <c r="I64" s="81">
        <v>0.90563162914100004</v>
      </c>
      <c r="J64" s="1">
        <v>66100</v>
      </c>
      <c r="M64" s="1">
        <v>1.1566195696899999</v>
      </c>
      <c r="N64" s="1">
        <v>66050</v>
      </c>
    </row>
    <row r="65" spans="1:14">
      <c r="A65" s="1">
        <v>0.79512104450200005</v>
      </c>
      <c r="B65" s="1">
        <v>66200</v>
      </c>
      <c r="E65" s="81">
        <v>0.27827489901199998</v>
      </c>
      <c r="F65" s="1">
        <v>66150</v>
      </c>
      <c r="I65" s="81">
        <v>0.78625911180700003</v>
      </c>
      <c r="J65" s="1">
        <v>66100</v>
      </c>
      <c r="M65" s="1">
        <v>0.88912964302800002</v>
      </c>
      <c r="N65" s="1">
        <v>66050</v>
      </c>
    </row>
    <row r="66" spans="1:14">
      <c r="A66" s="1">
        <v>0.65951042579700003</v>
      </c>
      <c r="B66" s="1">
        <v>66200</v>
      </c>
      <c r="E66" s="81">
        <v>0.27675556529500001</v>
      </c>
      <c r="F66" s="1">
        <v>66150</v>
      </c>
      <c r="I66" s="81">
        <v>1.5821056124999999</v>
      </c>
      <c r="J66" s="1">
        <v>66100</v>
      </c>
      <c r="M66" s="1">
        <v>1.42229392828</v>
      </c>
      <c r="N66" s="1">
        <v>66050</v>
      </c>
    </row>
    <row r="67" spans="1:14">
      <c r="A67" s="1">
        <v>0.81102975656499998</v>
      </c>
      <c r="B67" s="1">
        <v>66200</v>
      </c>
      <c r="E67" s="81">
        <v>0.61478323646400002</v>
      </c>
      <c r="F67" s="1">
        <v>66150</v>
      </c>
      <c r="I67" s="81">
        <v>0.401952631906</v>
      </c>
      <c r="J67" s="1">
        <v>66100</v>
      </c>
      <c r="M67" s="1">
        <v>0.80316408062800004</v>
      </c>
      <c r="N67" s="1">
        <v>66050</v>
      </c>
    </row>
    <row r="68" spans="1:14">
      <c r="A68" s="1">
        <v>2.01294235197</v>
      </c>
      <c r="B68" s="1">
        <v>66200</v>
      </c>
      <c r="E68" s="81">
        <v>1.10420055251</v>
      </c>
      <c r="F68" s="1">
        <v>66150</v>
      </c>
      <c r="I68" s="81">
        <v>0.136776821405</v>
      </c>
      <c r="J68" s="1">
        <v>66100</v>
      </c>
      <c r="M68" s="1">
        <v>2.6473624036099999</v>
      </c>
      <c r="N68" s="1">
        <v>66050</v>
      </c>
    </row>
    <row r="69" spans="1:14">
      <c r="A69" s="1">
        <v>0.27827489901199998</v>
      </c>
      <c r="B69" s="1">
        <v>66200</v>
      </c>
      <c r="E69" s="81">
        <v>0.19975895094500001</v>
      </c>
      <c r="F69" s="1">
        <v>66150</v>
      </c>
      <c r="I69" s="81">
        <v>0.70569981318099995</v>
      </c>
      <c r="J69" s="1">
        <v>66100</v>
      </c>
      <c r="M69" s="1">
        <v>1.0038420183100001</v>
      </c>
      <c r="N69" s="1">
        <v>66050</v>
      </c>
    </row>
    <row r="70" spans="1:14">
      <c r="A70" s="1">
        <v>0.16129358142399999</v>
      </c>
      <c r="B70" s="1">
        <v>66200</v>
      </c>
      <c r="E70" s="81">
        <v>0.35563937809899998</v>
      </c>
      <c r="F70" s="1">
        <v>66150</v>
      </c>
      <c r="I70" s="81">
        <v>0.39951790189000003</v>
      </c>
      <c r="J70" s="1">
        <v>66100</v>
      </c>
      <c r="M70" s="1">
        <v>0.66224846733599996</v>
      </c>
      <c r="N70" s="1">
        <v>66100</v>
      </c>
    </row>
    <row r="71" spans="1:14">
      <c r="A71" s="1">
        <v>0.62791029851900004</v>
      </c>
      <c r="B71" s="1">
        <v>66200</v>
      </c>
      <c r="E71" s="81">
        <v>0.71784576617700002</v>
      </c>
      <c r="F71" s="1">
        <v>66150</v>
      </c>
      <c r="I71" s="81">
        <v>0.25096050457699998</v>
      </c>
      <c r="J71" s="1">
        <v>66100</v>
      </c>
      <c r="M71" s="1">
        <v>0.65743110243000003</v>
      </c>
      <c r="N71" s="1">
        <v>66100</v>
      </c>
    </row>
    <row r="72" spans="1:14">
      <c r="A72" s="1">
        <v>0.67212207543799996</v>
      </c>
      <c r="B72" s="1">
        <v>66200</v>
      </c>
      <c r="E72" s="81">
        <v>0</v>
      </c>
      <c r="F72" s="1">
        <v>66150</v>
      </c>
      <c r="I72" s="81">
        <v>0.19689815252100001</v>
      </c>
      <c r="J72" s="1">
        <v>66200</v>
      </c>
      <c r="M72" s="1">
        <v>0.45818359068600001</v>
      </c>
      <c r="N72" s="1">
        <v>66100</v>
      </c>
    </row>
    <row r="73" spans="1:14">
      <c r="A73" s="1">
        <v>0.44125857820699999</v>
      </c>
      <c r="B73" s="1">
        <v>66200</v>
      </c>
      <c r="E73" s="81">
        <v>1.4644719992599999</v>
      </c>
      <c r="F73" s="1">
        <v>66150</v>
      </c>
      <c r="I73" s="81">
        <v>0.69940983147000002</v>
      </c>
      <c r="J73" s="1">
        <v>66200</v>
      </c>
      <c r="M73" s="1">
        <v>2.19868069217</v>
      </c>
      <c r="N73" s="1">
        <v>66100</v>
      </c>
    </row>
    <row r="74" spans="1:14">
      <c r="A74" s="1">
        <v>1.14269326044</v>
      </c>
      <c r="B74" s="1">
        <v>66200</v>
      </c>
      <c r="E74" s="81">
        <v>0.56156771082099999</v>
      </c>
      <c r="F74" s="1">
        <v>66300</v>
      </c>
      <c r="I74" s="81">
        <v>0.66930767036500005</v>
      </c>
      <c r="J74" s="1">
        <v>66200</v>
      </c>
      <c r="M74" s="1">
        <v>0.327832434063</v>
      </c>
      <c r="N74" s="1">
        <v>66100</v>
      </c>
    </row>
    <row r="75" spans="1:14">
      <c r="A75" s="1">
        <v>0.19158125292600001</v>
      </c>
      <c r="B75" s="1">
        <v>66200</v>
      </c>
      <c r="E75" s="81">
        <v>1.62421158895</v>
      </c>
      <c r="F75" s="1">
        <v>66300</v>
      </c>
      <c r="I75" s="81">
        <v>1.96542183681</v>
      </c>
      <c r="J75" s="1">
        <v>66200</v>
      </c>
      <c r="M75" s="1">
        <v>1.1096020586499999</v>
      </c>
      <c r="N75" s="1">
        <v>66100</v>
      </c>
    </row>
    <row r="76" spans="1:14">
      <c r="A76" s="1">
        <v>1.5726796064799999</v>
      </c>
      <c r="B76" s="1">
        <v>66200</v>
      </c>
      <c r="E76" s="81">
        <v>1.8978204561000001</v>
      </c>
      <c r="F76" s="1">
        <v>66300</v>
      </c>
      <c r="I76" s="81">
        <v>0.67127593641600003</v>
      </c>
      <c r="J76" s="1">
        <v>66200</v>
      </c>
      <c r="M76" s="1">
        <v>1.4243303730800001</v>
      </c>
      <c r="N76" s="1">
        <v>66100</v>
      </c>
    </row>
    <row r="77" spans="1:14">
      <c r="A77" s="1">
        <v>1.5608581560999999</v>
      </c>
      <c r="B77" s="1">
        <v>66200</v>
      </c>
      <c r="E77" s="81">
        <v>1.0323915868</v>
      </c>
      <c r="F77" s="1">
        <v>66300</v>
      </c>
      <c r="I77" s="81">
        <v>1.9910785908199999</v>
      </c>
      <c r="J77" s="1">
        <v>66200</v>
      </c>
      <c r="M77" s="1">
        <v>8.6560550947599998E-2</v>
      </c>
      <c r="N77" s="1">
        <v>66100</v>
      </c>
    </row>
    <row r="78" spans="1:14">
      <c r="A78" s="1">
        <v>9.7524744218500006E-2</v>
      </c>
      <c r="B78" s="1">
        <v>66400</v>
      </c>
      <c r="E78" s="81">
        <v>0.61338439742200002</v>
      </c>
      <c r="F78" s="1">
        <v>66300</v>
      </c>
      <c r="I78" s="81">
        <v>0.78658301664499997</v>
      </c>
      <c r="J78" s="1">
        <v>66200</v>
      </c>
      <c r="M78" s="1">
        <v>1.42458509995</v>
      </c>
      <c r="N78" s="1">
        <v>66100</v>
      </c>
    </row>
    <row r="79" spans="1:14">
      <c r="A79" s="1">
        <v>1.5077086615699999</v>
      </c>
      <c r="B79" s="1">
        <v>66400</v>
      </c>
      <c r="E79" s="81">
        <v>0.104073788592</v>
      </c>
      <c r="F79" s="1">
        <v>66300</v>
      </c>
      <c r="I79" s="81">
        <v>0.50668220482699999</v>
      </c>
      <c r="J79" s="1">
        <v>66200</v>
      </c>
      <c r="M79" s="1">
        <v>0.84385103275600004</v>
      </c>
      <c r="N79" s="1">
        <v>66100</v>
      </c>
    </row>
    <row r="80" spans="1:14">
      <c r="A80" s="1">
        <v>0.91012790505300001</v>
      </c>
      <c r="B80" s="1">
        <v>66400</v>
      </c>
      <c r="E80" s="81">
        <v>1.3494584138300001</v>
      </c>
      <c r="F80" s="1">
        <v>66300</v>
      </c>
      <c r="I80" s="81">
        <v>1.1128540709000001</v>
      </c>
      <c r="J80" s="1">
        <v>66200</v>
      </c>
      <c r="M80" s="1">
        <v>0.29738933035100001</v>
      </c>
      <c r="N80" s="1">
        <v>66100</v>
      </c>
    </row>
    <row r="81" spans="1:14">
      <c r="A81" s="1">
        <v>2.4140390792500002</v>
      </c>
      <c r="B81" s="1">
        <v>66400</v>
      </c>
      <c r="E81" s="81">
        <v>0.98049303232899998</v>
      </c>
      <c r="F81" s="1">
        <v>66300</v>
      </c>
      <c r="I81" s="81">
        <v>1.0708057231000001</v>
      </c>
      <c r="J81" s="1">
        <v>66200</v>
      </c>
      <c r="M81" s="1">
        <v>0.69492815914999995</v>
      </c>
      <c r="N81" s="1">
        <v>66100</v>
      </c>
    </row>
    <row r="82" spans="1:14">
      <c r="A82" s="1">
        <v>0.41360250741600002</v>
      </c>
      <c r="B82" s="1">
        <v>66400</v>
      </c>
      <c r="E82" s="81">
        <v>0.25923027801499998</v>
      </c>
      <c r="F82" s="1">
        <v>66300</v>
      </c>
      <c r="I82" s="81">
        <v>0.58924273619900003</v>
      </c>
      <c r="J82" s="1">
        <v>66200</v>
      </c>
      <c r="M82" s="1">
        <v>0.18551659934100001</v>
      </c>
      <c r="N82" s="1">
        <v>66100</v>
      </c>
    </row>
    <row r="83" spans="1:14">
      <c r="A83" s="1">
        <v>0.70770176242299998</v>
      </c>
      <c r="B83" s="1">
        <v>66400</v>
      </c>
      <c r="E83" s="81">
        <v>0.24441801139300001</v>
      </c>
      <c r="F83" s="1">
        <v>66300</v>
      </c>
      <c r="I83" s="81">
        <v>0.69697540286600002</v>
      </c>
      <c r="J83" s="1">
        <v>66200</v>
      </c>
      <c r="M83" s="1">
        <v>0.27814611599599998</v>
      </c>
      <c r="N83" s="1">
        <v>66100</v>
      </c>
    </row>
    <row r="84" spans="1:14">
      <c r="A84" s="1">
        <v>0.235591960323</v>
      </c>
      <c r="B84" s="1">
        <v>66400</v>
      </c>
      <c r="E84" s="81">
        <v>2.26072794839</v>
      </c>
      <c r="F84" s="1">
        <v>66300</v>
      </c>
      <c r="I84" s="81">
        <v>1.8904421440300001</v>
      </c>
      <c r="J84" s="1">
        <v>66200</v>
      </c>
      <c r="M84" s="1">
        <v>0.39951790189000003</v>
      </c>
      <c r="N84" s="1">
        <v>66100</v>
      </c>
    </row>
    <row r="85" spans="1:14">
      <c r="A85" s="1">
        <v>0.55680939593699996</v>
      </c>
      <c r="B85" s="1">
        <v>66400</v>
      </c>
      <c r="E85" s="81">
        <v>2.4006463830100002</v>
      </c>
      <c r="F85" s="1">
        <v>66300</v>
      </c>
      <c r="I85" s="81">
        <v>0.247355465788</v>
      </c>
      <c r="J85" s="1">
        <v>66200</v>
      </c>
      <c r="M85" s="1">
        <v>0</v>
      </c>
      <c r="N85" s="1">
        <v>66100</v>
      </c>
    </row>
    <row r="86" spans="1:14">
      <c r="A86" s="1">
        <v>0.83857411897199996</v>
      </c>
      <c r="B86" s="1">
        <v>66400</v>
      </c>
      <c r="E86" s="81">
        <v>1.3190532646499999</v>
      </c>
      <c r="F86" s="1">
        <v>66300</v>
      </c>
      <c r="I86" s="81">
        <v>5.9307338725799998E-2</v>
      </c>
      <c r="J86" s="1">
        <v>66200</v>
      </c>
      <c r="M86" s="1">
        <v>0.70083908668600003</v>
      </c>
      <c r="N86" s="1">
        <v>66150</v>
      </c>
    </row>
    <row r="87" spans="1:14">
      <c r="A87" s="1">
        <v>0.14401682112</v>
      </c>
      <c r="B87" s="1">
        <v>66400</v>
      </c>
      <c r="E87" s="81">
        <v>0.43287206512999998</v>
      </c>
      <c r="F87" s="1">
        <v>66300</v>
      </c>
      <c r="I87" s="81">
        <v>0.25154882622199998</v>
      </c>
      <c r="J87" s="1">
        <v>66200</v>
      </c>
      <c r="M87" s="1">
        <v>0.81548352451899997</v>
      </c>
      <c r="N87" s="1">
        <v>66150</v>
      </c>
    </row>
    <row r="88" spans="1:14">
      <c r="A88" s="1">
        <v>0.26142425616699999</v>
      </c>
      <c r="B88" s="1">
        <v>66400</v>
      </c>
      <c r="E88" s="81">
        <v>0.318658964632</v>
      </c>
      <c r="F88" s="1">
        <v>66300</v>
      </c>
      <c r="I88" s="81">
        <v>0.48008719674099998</v>
      </c>
      <c r="J88" s="1">
        <v>66200</v>
      </c>
      <c r="M88" s="1">
        <v>1.76887965313</v>
      </c>
      <c r="N88" s="1">
        <v>66150</v>
      </c>
    </row>
    <row r="89" spans="1:14">
      <c r="A89" s="1">
        <v>0.43119857126299999</v>
      </c>
      <c r="B89" s="1">
        <v>66400</v>
      </c>
      <c r="E89" s="81">
        <v>1.44026159022</v>
      </c>
      <c r="F89" s="1">
        <v>66300</v>
      </c>
      <c r="I89" s="81">
        <v>0</v>
      </c>
      <c r="J89" s="1">
        <v>66200</v>
      </c>
      <c r="M89" s="1">
        <v>0</v>
      </c>
      <c r="N89" s="1">
        <v>66150</v>
      </c>
    </row>
    <row r="90" spans="1:14">
      <c r="A90" s="1">
        <v>0.59404504642099998</v>
      </c>
      <c r="B90" s="1">
        <v>66400</v>
      </c>
      <c r="E90" s="81">
        <v>0.85185053707900005</v>
      </c>
      <c r="F90" s="1">
        <v>66300</v>
      </c>
      <c r="I90" s="81">
        <v>1.14269326044</v>
      </c>
      <c r="J90" s="1">
        <v>66200</v>
      </c>
      <c r="M90" s="1">
        <v>1.9910785908199999</v>
      </c>
      <c r="N90" s="1">
        <v>66150</v>
      </c>
    </row>
    <row r="91" spans="1:14">
      <c r="A91" s="1">
        <v>0.61838866447100005</v>
      </c>
      <c r="B91" s="1">
        <v>66400</v>
      </c>
      <c r="E91" s="81">
        <v>0.33694801269500002</v>
      </c>
      <c r="F91" s="1">
        <v>66300</v>
      </c>
      <c r="I91" s="81">
        <v>1.2778021802599999</v>
      </c>
      <c r="J91" s="1">
        <v>66200</v>
      </c>
      <c r="M91" s="1">
        <v>0.27410105523200001</v>
      </c>
      <c r="N91" s="1">
        <v>66150</v>
      </c>
    </row>
    <row r="92" spans="1:14">
      <c r="A92" s="1">
        <v>0.14136252880799999</v>
      </c>
      <c r="B92" s="1">
        <v>66400</v>
      </c>
      <c r="E92" s="81">
        <v>0.31214502324499999</v>
      </c>
      <c r="F92" s="1">
        <v>66300</v>
      </c>
      <c r="I92" s="81">
        <v>0.56156771082099999</v>
      </c>
      <c r="J92" s="1">
        <v>66300</v>
      </c>
      <c r="M92" s="1">
        <v>1.1878678607499999</v>
      </c>
      <c r="N92" s="1">
        <v>66150</v>
      </c>
    </row>
    <row r="93" spans="1:14">
      <c r="A93" s="1">
        <v>1.8723400672899999</v>
      </c>
      <c r="B93" s="1">
        <v>66400</v>
      </c>
      <c r="E93" s="81">
        <v>0.220102785774</v>
      </c>
      <c r="F93" s="1">
        <v>66300</v>
      </c>
      <c r="I93" s="81">
        <v>1.6334121180800001</v>
      </c>
      <c r="J93" s="1">
        <v>66300</v>
      </c>
      <c r="M93" s="1">
        <v>0.28779314929400002</v>
      </c>
      <c r="N93" s="1">
        <v>66150</v>
      </c>
    </row>
    <row r="94" spans="1:14">
      <c r="A94" s="1">
        <v>1.6165426277199999E-2</v>
      </c>
      <c r="B94" s="1">
        <v>66400</v>
      </c>
      <c r="E94" s="81">
        <v>1.48579429149</v>
      </c>
      <c r="F94" s="1">
        <v>66450</v>
      </c>
      <c r="I94" s="81">
        <v>1.8978204561000001</v>
      </c>
      <c r="J94" s="1">
        <v>66300</v>
      </c>
      <c r="M94" s="1">
        <v>0.37983464337200001</v>
      </c>
      <c r="N94" s="1">
        <v>66150</v>
      </c>
    </row>
    <row r="95" spans="1:14">
      <c r="A95" s="1">
        <v>5.8599654381800002E-2</v>
      </c>
      <c r="B95" s="1">
        <v>66400</v>
      </c>
      <c r="E95" s="81">
        <v>0.98738223668299996</v>
      </c>
      <c r="F95" s="1">
        <v>66450</v>
      </c>
      <c r="I95" s="81">
        <v>0.83610986980599999</v>
      </c>
      <c r="J95" s="1">
        <v>66300</v>
      </c>
      <c r="M95" s="1">
        <v>0.27417987615400002</v>
      </c>
      <c r="N95" s="1">
        <v>66150</v>
      </c>
    </row>
    <row r="96" spans="1:14">
      <c r="A96" s="1">
        <v>0.20853944106200001</v>
      </c>
      <c r="B96" s="1">
        <v>66400</v>
      </c>
      <c r="E96" s="81">
        <v>1.3392006648000001</v>
      </c>
      <c r="F96" s="1">
        <v>66450</v>
      </c>
      <c r="I96" s="81">
        <v>1.4578678459800001</v>
      </c>
      <c r="J96" s="1">
        <v>66300</v>
      </c>
      <c r="M96" s="1">
        <v>2.03808937837</v>
      </c>
      <c r="N96" s="1">
        <v>66150</v>
      </c>
    </row>
    <row r="97" spans="1:14">
      <c r="A97" s="1">
        <v>0.46619544724099998</v>
      </c>
      <c r="B97" s="1">
        <v>66600</v>
      </c>
      <c r="E97" s="81">
        <v>0.29481327552100001</v>
      </c>
      <c r="F97" s="1">
        <v>66450</v>
      </c>
      <c r="I97" s="81">
        <v>0.38609823406100002</v>
      </c>
      <c r="J97" s="1">
        <v>66300</v>
      </c>
      <c r="M97" s="1">
        <v>0.123677732894</v>
      </c>
      <c r="N97" s="1">
        <v>66150</v>
      </c>
    </row>
    <row r="98" spans="1:14">
      <c r="A98" s="1">
        <v>1.3762224410899999</v>
      </c>
      <c r="B98" s="1">
        <v>66600</v>
      </c>
      <c r="E98" s="81">
        <v>1.1031821590699999</v>
      </c>
      <c r="F98" s="1">
        <v>66450</v>
      </c>
      <c r="I98" s="81">
        <v>1.1037447606299999</v>
      </c>
      <c r="J98" s="1">
        <v>66300</v>
      </c>
      <c r="M98" s="1">
        <v>3.46858456993E-2</v>
      </c>
      <c r="N98" s="1">
        <v>66150</v>
      </c>
    </row>
    <row r="99" spans="1:14">
      <c r="A99" s="1">
        <v>0.57861258422399997</v>
      </c>
      <c r="B99" s="1">
        <v>66600</v>
      </c>
      <c r="E99" s="81">
        <v>0.235591960323</v>
      </c>
      <c r="F99" s="1">
        <v>66450</v>
      </c>
      <c r="I99" s="81">
        <v>0.25923027801499998</v>
      </c>
      <c r="J99" s="1">
        <v>66300</v>
      </c>
      <c r="M99" s="1">
        <v>1.10420055251</v>
      </c>
      <c r="N99" s="1">
        <v>66150</v>
      </c>
    </row>
    <row r="100" spans="1:14">
      <c r="A100" s="1">
        <v>0.52267262033799999</v>
      </c>
      <c r="B100" s="1">
        <v>66600</v>
      </c>
      <c r="E100" s="81">
        <v>0.282523898873</v>
      </c>
      <c r="F100" s="1">
        <v>66450</v>
      </c>
      <c r="I100" s="81">
        <v>1.6723596172599999</v>
      </c>
      <c r="J100" s="1">
        <v>66300</v>
      </c>
      <c r="M100" s="1">
        <v>0.78980441661699996</v>
      </c>
      <c r="N100" s="1">
        <v>66200</v>
      </c>
    </row>
    <row r="101" spans="1:14">
      <c r="A101" s="1">
        <v>0.498803747021</v>
      </c>
      <c r="B101" s="1">
        <v>66600</v>
      </c>
      <c r="E101" s="81">
        <v>0.83025842285700002</v>
      </c>
      <c r="F101" s="1">
        <v>66450</v>
      </c>
      <c r="I101" s="81">
        <v>1.1433453230599999</v>
      </c>
      <c r="J101" s="1">
        <v>66300</v>
      </c>
      <c r="M101" s="1">
        <v>0.41826640668499998</v>
      </c>
      <c r="N101" s="1">
        <v>66200</v>
      </c>
    </row>
    <row r="102" spans="1:14">
      <c r="A102" s="1">
        <v>0.57200951463600003</v>
      </c>
      <c r="B102" s="1">
        <v>66600</v>
      </c>
      <c r="E102" s="81">
        <v>0.14401682112</v>
      </c>
      <c r="F102" s="1">
        <v>66450</v>
      </c>
      <c r="I102" s="81">
        <v>1.1043373297300001</v>
      </c>
      <c r="J102" s="1">
        <v>66300</v>
      </c>
      <c r="M102" s="1">
        <v>1.5032237345299999</v>
      </c>
      <c r="N102" s="1">
        <v>66200</v>
      </c>
    </row>
    <row r="103" spans="1:14">
      <c r="A103" s="1">
        <v>0.89503906789900001</v>
      </c>
      <c r="B103" s="1">
        <v>66600</v>
      </c>
      <c r="E103" s="81">
        <v>0.313432980794</v>
      </c>
      <c r="F103" s="1">
        <v>66450</v>
      </c>
      <c r="I103" s="81">
        <v>0.43287206512999998</v>
      </c>
      <c r="J103" s="1">
        <v>66300</v>
      </c>
      <c r="M103" s="1">
        <v>0.89503458188700002</v>
      </c>
      <c r="N103" s="1">
        <v>66200</v>
      </c>
    </row>
    <row r="104" spans="1:14">
      <c r="A104" s="1">
        <v>0.89555928187800005</v>
      </c>
      <c r="B104" s="1">
        <v>66600</v>
      </c>
      <c r="E104" s="81">
        <v>0.283304819263</v>
      </c>
      <c r="F104" s="1">
        <v>66450</v>
      </c>
      <c r="I104" s="81">
        <v>0.318658964632</v>
      </c>
      <c r="J104" s="1">
        <v>66300</v>
      </c>
      <c r="M104" s="1">
        <v>0.71354396568699996</v>
      </c>
      <c r="N104" s="1">
        <v>66200</v>
      </c>
    </row>
    <row r="105" spans="1:14">
      <c r="A105" s="1">
        <v>0.16470631013799999</v>
      </c>
      <c r="B105" s="1">
        <v>66600</v>
      </c>
      <c r="E105" s="81">
        <v>0.420061944204</v>
      </c>
      <c r="F105" s="1">
        <v>66450</v>
      </c>
      <c r="I105" s="81">
        <v>0.48008719674099998</v>
      </c>
      <c r="J105" s="1">
        <v>66300</v>
      </c>
      <c r="M105" s="1">
        <v>0.43227817810500002</v>
      </c>
      <c r="N105" s="1">
        <v>66200</v>
      </c>
    </row>
    <row r="106" spans="1:14">
      <c r="A106" s="1">
        <v>0.58823977777699998</v>
      </c>
      <c r="B106" s="1">
        <v>66800</v>
      </c>
      <c r="E106" s="81">
        <v>0.77298583058899994</v>
      </c>
      <c r="F106" s="1">
        <v>66450</v>
      </c>
      <c r="I106" s="81">
        <v>0.85185053707900005</v>
      </c>
      <c r="J106" s="1">
        <v>66300</v>
      </c>
      <c r="M106" s="1">
        <v>0.67170240556500005</v>
      </c>
      <c r="N106" s="1">
        <v>66200</v>
      </c>
    </row>
    <row r="107" spans="1:14">
      <c r="A107" s="1">
        <v>0.28926968506900003</v>
      </c>
      <c r="B107" s="1">
        <v>66800</v>
      </c>
      <c r="E107" s="81">
        <v>2.79740911808E-2</v>
      </c>
      <c r="F107" s="1">
        <v>66450</v>
      </c>
      <c r="I107" s="81">
        <v>0.456927182963</v>
      </c>
      <c r="J107" s="1">
        <v>66300</v>
      </c>
      <c r="M107" s="1">
        <v>0.472615425935</v>
      </c>
      <c r="N107" s="1">
        <v>66200</v>
      </c>
    </row>
    <row r="108" spans="1:14">
      <c r="A108" s="1">
        <v>0.247355465788</v>
      </c>
      <c r="B108" s="1">
        <v>66800</v>
      </c>
      <c r="E108" s="81">
        <v>0.43207847706699998</v>
      </c>
      <c r="F108" s="1">
        <v>66450</v>
      </c>
      <c r="I108" s="81">
        <v>0.220102785774</v>
      </c>
      <c r="J108" s="1">
        <v>66300</v>
      </c>
      <c r="M108" s="1">
        <v>0.217357169756</v>
      </c>
      <c r="N108" s="1">
        <v>66200</v>
      </c>
    </row>
    <row r="109" spans="1:14">
      <c r="A109" s="1">
        <v>0.57115897870400001</v>
      </c>
      <c r="B109" s="1">
        <v>66800</v>
      </c>
      <c r="E109" s="81">
        <v>1.6165426277199999E-2</v>
      </c>
      <c r="F109" s="1">
        <v>66450</v>
      </c>
      <c r="I109" s="81">
        <v>1.43977411432</v>
      </c>
      <c r="J109" s="1">
        <v>66400</v>
      </c>
      <c r="M109" s="1">
        <v>1.9554980801699999</v>
      </c>
      <c r="N109" s="1">
        <v>66200</v>
      </c>
    </row>
    <row r="110" spans="1:14">
      <c r="A110" s="1">
        <v>9.2758299670699998E-2</v>
      </c>
      <c r="B110" s="1">
        <v>67000</v>
      </c>
      <c r="E110" s="81">
        <v>6.6413834732999999E-2</v>
      </c>
      <c r="F110" s="1">
        <v>66450</v>
      </c>
      <c r="I110" s="81">
        <v>0.496093999791</v>
      </c>
      <c r="J110" s="1">
        <v>66400</v>
      </c>
      <c r="M110" s="1">
        <v>0.30919433223600001</v>
      </c>
      <c r="N110" s="1">
        <v>66200</v>
      </c>
    </row>
    <row r="111" spans="1:14">
      <c r="A111" s="1">
        <v>0.12932341021800001</v>
      </c>
      <c r="B111" s="1">
        <v>67000</v>
      </c>
      <c r="E111" s="81">
        <v>1.6238548230000001</v>
      </c>
      <c r="F111" s="1">
        <v>66600</v>
      </c>
      <c r="I111" s="81">
        <v>1.16348855219</v>
      </c>
      <c r="J111" s="1">
        <v>66400</v>
      </c>
      <c r="M111" s="1">
        <v>0.25154882622199998</v>
      </c>
      <c r="N111" s="1">
        <v>66200</v>
      </c>
    </row>
    <row r="112" spans="1:14">
      <c r="A112" s="1">
        <v>1.4649913595400001E-2</v>
      </c>
      <c r="B112" s="1">
        <v>67000</v>
      </c>
      <c r="E112" s="81">
        <v>0.64979805142799996</v>
      </c>
      <c r="F112" s="1">
        <v>66600</v>
      </c>
      <c r="I112" s="81">
        <v>0.39308436736199998</v>
      </c>
      <c r="J112" s="1">
        <v>66400</v>
      </c>
      <c r="M112" s="1">
        <v>0.52707566344000001</v>
      </c>
      <c r="N112" s="1">
        <v>66250</v>
      </c>
    </row>
    <row r="113" spans="1:14">
      <c r="A113" s="1">
        <v>0.13568085135399999</v>
      </c>
      <c r="B113" s="1">
        <v>67000</v>
      </c>
      <c r="E113" s="81">
        <v>0.52267262033799999</v>
      </c>
      <c r="F113" s="1">
        <v>66600</v>
      </c>
      <c r="I113" s="81">
        <v>1.1031821590699999</v>
      </c>
      <c r="J113" s="1">
        <v>66400</v>
      </c>
      <c r="M113" s="1">
        <v>0.43066276912599999</v>
      </c>
      <c r="N113" s="1">
        <v>66250</v>
      </c>
    </row>
    <row r="114" spans="1:14">
      <c r="A114" s="1">
        <v>5.8086667624100002E-2</v>
      </c>
      <c r="B114" s="1">
        <v>67200</v>
      </c>
      <c r="E114" s="81">
        <v>0.61838866447100005</v>
      </c>
      <c r="F114" s="1">
        <v>66600</v>
      </c>
      <c r="I114" s="81">
        <v>0.235591960323</v>
      </c>
      <c r="J114" s="1">
        <v>66400</v>
      </c>
      <c r="M114" s="1">
        <v>0.91839343117899996</v>
      </c>
      <c r="N114" s="1">
        <v>66250</v>
      </c>
    </row>
    <row r="115" spans="1:14">
      <c r="A115" s="1">
        <v>0.180089634074</v>
      </c>
      <c r="B115" s="1">
        <v>67200</v>
      </c>
      <c r="E115" s="81">
        <v>0.89503906789900001</v>
      </c>
      <c r="F115" s="1">
        <v>66600</v>
      </c>
      <c r="I115" s="81">
        <v>0.288395297178</v>
      </c>
      <c r="J115" s="1">
        <v>66400</v>
      </c>
      <c r="M115" s="1">
        <v>0.97191189732299998</v>
      </c>
      <c r="N115" s="1">
        <v>66250</v>
      </c>
    </row>
    <row r="116" spans="1:14">
      <c r="A116" s="1">
        <v>6.8137256507199997E-2</v>
      </c>
      <c r="B116" s="1">
        <v>67200</v>
      </c>
      <c r="E116" s="81">
        <v>0.89555928187800005</v>
      </c>
      <c r="F116" s="1">
        <v>66600</v>
      </c>
      <c r="I116" s="81">
        <v>0.52806395575599996</v>
      </c>
      <c r="J116" s="1">
        <v>66400</v>
      </c>
      <c r="M116" s="1">
        <v>0.22872836466900001</v>
      </c>
      <c r="N116" s="1">
        <v>66250</v>
      </c>
    </row>
    <row r="117" spans="1:14">
      <c r="A117" s="1">
        <v>0.504204073674</v>
      </c>
      <c r="B117" s="1">
        <v>67800</v>
      </c>
      <c r="E117" s="81">
        <v>0.16470631013799999</v>
      </c>
      <c r="F117" s="1">
        <v>66600</v>
      </c>
      <c r="I117" s="81">
        <v>0.133795060528</v>
      </c>
      <c r="J117" s="1">
        <v>66400</v>
      </c>
      <c r="M117" s="1">
        <v>1.12430971866</v>
      </c>
      <c r="N117" s="1">
        <v>66250</v>
      </c>
    </row>
    <row r="118" spans="1:14">
      <c r="A118" s="1">
        <v>0.714411205391</v>
      </c>
      <c r="B118" s="1">
        <v>67800</v>
      </c>
      <c r="E118" s="81">
        <v>0.99469036151900003</v>
      </c>
      <c r="F118" s="1">
        <v>66750</v>
      </c>
      <c r="I118" s="81">
        <v>0.272621708824</v>
      </c>
      <c r="J118" s="1">
        <v>66400</v>
      </c>
      <c r="M118" s="1">
        <v>0.56360148218799999</v>
      </c>
      <c r="N118" s="1">
        <v>66250</v>
      </c>
    </row>
    <row r="119" spans="1:14">
      <c r="A119" s="1">
        <v>0.265655338932</v>
      </c>
      <c r="B119" s="1">
        <v>68400</v>
      </c>
      <c r="E119" s="81">
        <v>0.29012763265800001</v>
      </c>
      <c r="F119" s="1">
        <v>66750</v>
      </c>
      <c r="I119" s="81">
        <v>0.54318872815800001</v>
      </c>
      <c r="J119" s="1">
        <v>66400</v>
      </c>
      <c r="M119" s="1">
        <v>0.21515404284699999</v>
      </c>
      <c r="N119" s="1">
        <v>66250</v>
      </c>
    </row>
    <row r="120" spans="1:14">
      <c r="A120" s="1">
        <v>1.0270109430700001</v>
      </c>
      <c r="B120" s="1">
        <v>68600</v>
      </c>
      <c r="E120" s="81">
        <v>0.55654979802399995</v>
      </c>
      <c r="F120" s="1">
        <v>66750</v>
      </c>
      <c r="I120" s="81">
        <v>0.52563036480100001</v>
      </c>
      <c r="J120" s="1">
        <v>66400</v>
      </c>
      <c r="M120" s="1">
        <v>0.67664526732300001</v>
      </c>
      <c r="N120" s="1">
        <v>66250</v>
      </c>
    </row>
    <row r="121" spans="1:14">
      <c r="A121" s="1">
        <v>0.43949740786300001</v>
      </c>
      <c r="B121" s="1">
        <v>68800</v>
      </c>
      <c r="E121" s="81">
        <v>3.6176326651799998E-2</v>
      </c>
      <c r="F121" s="1">
        <v>66900</v>
      </c>
      <c r="I121" s="81">
        <v>0.67212207543799996</v>
      </c>
      <c r="J121" s="1">
        <v>66400</v>
      </c>
      <c r="M121" s="1">
        <v>9.6017439348299996E-2</v>
      </c>
      <c r="N121" s="1">
        <v>66250</v>
      </c>
    </row>
    <row r="122" spans="1:14">
      <c r="A122" s="1"/>
      <c r="B122" s="1"/>
      <c r="E122" s="81">
        <v>0.371033198683</v>
      </c>
      <c r="F122" s="1">
        <v>66900</v>
      </c>
      <c r="I122" s="81">
        <v>1.6165426277199999E-2</v>
      </c>
      <c r="J122" s="1">
        <v>66400</v>
      </c>
      <c r="M122" s="1">
        <v>0.29487742621500002</v>
      </c>
      <c r="N122" s="1">
        <v>66250</v>
      </c>
    </row>
    <row r="123" spans="1:14">
      <c r="A123" s="1"/>
      <c r="B123" s="1"/>
      <c r="E123" s="81">
        <v>1.4649913595400001E-2</v>
      </c>
      <c r="F123" s="1">
        <v>66900</v>
      </c>
      <c r="I123" s="81">
        <v>0.12485800929800001</v>
      </c>
      <c r="J123" s="1">
        <v>66400</v>
      </c>
      <c r="M123" s="1">
        <v>1.1746102363399999</v>
      </c>
      <c r="N123" s="1">
        <v>66300</v>
      </c>
    </row>
    <row r="124" spans="1:14">
      <c r="A124" s="1"/>
      <c r="B124" s="1"/>
      <c r="E124" s="81">
        <v>0.57115897870400001</v>
      </c>
      <c r="F124" s="1">
        <v>66900</v>
      </c>
      <c r="I124" s="81">
        <v>1.38279675211</v>
      </c>
      <c r="J124" s="1">
        <v>66500</v>
      </c>
      <c r="M124" s="1">
        <v>1.1918958854099999</v>
      </c>
      <c r="N124" s="1">
        <v>66300</v>
      </c>
    </row>
    <row r="125" spans="1:14">
      <c r="A125" s="1"/>
      <c r="B125" s="1"/>
      <c r="E125" s="81">
        <v>0.13568085135399999</v>
      </c>
      <c r="F125" s="1">
        <v>66900</v>
      </c>
      <c r="I125" s="81">
        <v>1.17746006013</v>
      </c>
      <c r="J125" s="1">
        <v>66500</v>
      </c>
      <c r="M125" s="1">
        <v>0.94075015196699996</v>
      </c>
      <c r="N125" s="1">
        <v>66300</v>
      </c>
    </row>
    <row r="126" spans="1:14">
      <c r="A126" s="1"/>
      <c r="B126" s="1"/>
      <c r="E126" s="81">
        <v>0.12932341021800001</v>
      </c>
      <c r="F126" s="1">
        <v>67050</v>
      </c>
      <c r="I126" s="81">
        <v>0.38691596793299998</v>
      </c>
      <c r="J126" s="1">
        <v>66500</v>
      </c>
      <c r="M126" s="1">
        <v>0.32397063244099999</v>
      </c>
      <c r="N126" s="1">
        <v>66300</v>
      </c>
    </row>
    <row r="127" spans="1:14">
      <c r="A127" s="1"/>
      <c r="B127" s="1"/>
      <c r="E127" s="81">
        <v>6.8137256507199997E-2</v>
      </c>
      <c r="F127" s="1">
        <v>67200</v>
      </c>
      <c r="I127" s="81">
        <v>0.44598034870699998</v>
      </c>
      <c r="J127" s="1">
        <v>66500</v>
      </c>
      <c r="M127" s="1">
        <v>0.177965873917</v>
      </c>
      <c r="N127" s="1">
        <v>66300</v>
      </c>
    </row>
    <row r="128" spans="1:14">
      <c r="A128" s="1"/>
      <c r="B128" s="1"/>
      <c r="E128" s="81">
        <v>0.504204073674</v>
      </c>
      <c r="F128" s="1">
        <v>67800</v>
      </c>
      <c r="I128" s="81">
        <v>0.77235909472300002</v>
      </c>
      <c r="J128" s="1">
        <v>66500</v>
      </c>
      <c r="M128" s="1">
        <v>1.31512216477</v>
      </c>
      <c r="N128" s="1">
        <v>66300</v>
      </c>
    </row>
    <row r="129" spans="1:14">
      <c r="A129" s="1"/>
      <c r="B129" s="1"/>
      <c r="E129" s="81">
        <v>0.714411205391</v>
      </c>
      <c r="F129" s="1">
        <v>67800</v>
      </c>
      <c r="I129" s="81">
        <v>0.14401682112</v>
      </c>
      <c r="J129" s="1">
        <v>66500</v>
      </c>
      <c r="M129" s="1">
        <v>0.25923027801499998</v>
      </c>
      <c r="N129" s="1">
        <v>66300</v>
      </c>
    </row>
    <row r="130" spans="1:14">
      <c r="A130" s="1"/>
      <c r="B130" s="1"/>
      <c r="E130" s="81"/>
      <c r="F130" s="1"/>
      <c r="I130" s="81">
        <v>0.253769478582</v>
      </c>
      <c r="J130" s="1">
        <v>66500</v>
      </c>
      <c r="M130" s="1">
        <v>0.144026159022</v>
      </c>
      <c r="N130" s="1">
        <v>66300</v>
      </c>
    </row>
    <row r="131" spans="1:14">
      <c r="A131" s="1"/>
      <c r="B131" s="1"/>
      <c r="E131" s="81"/>
      <c r="F131" s="1"/>
      <c r="I131" s="81">
        <v>9.8011727360300005E-2</v>
      </c>
      <c r="J131" s="1">
        <v>66500</v>
      </c>
      <c r="M131" s="1">
        <v>0.83404207892399995</v>
      </c>
      <c r="N131" s="1">
        <v>66350</v>
      </c>
    </row>
    <row r="132" spans="1:14">
      <c r="A132" s="1"/>
      <c r="B132" s="1"/>
      <c r="E132" s="81"/>
      <c r="F132" s="1"/>
      <c r="I132" s="81">
        <v>0.21418585909599999</v>
      </c>
      <c r="J132" s="1">
        <v>66500</v>
      </c>
      <c r="M132" s="1">
        <v>0.99270370353199999</v>
      </c>
      <c r="N132" s="1">
        <v>66350</v>
      </c>
    </row>
    <row r="133" spans="1:14">
      <c r="A133" s="1"/>
      <c r="B133" s="1"/>
      <c r="E133" s="81"/>
      <c r="F133" s="1"/>
      <c r="I133" s="81">
        <v>0.27827489901199998</v>
      </c>
      <c r="J133" s="1">
        <v>66500</v>
      </c>
      <c r="M133" s="1">
        <v>0.492478517166</v>
      </c>
      <c r="N133" s="1">
        <v>66350</v>
      </c>
    </row>
    <row r="134" spans="1:14">
      <c r="A134" s="1"/>
      <c r="B134" s="1"/>
      <c r="E134" s="81"/>
      <c r="F134" s="1"/>
      <c r="I134" s="81">
        <v>0.16218210548299999</v>
      </c>
      <c r="J134" s="1">
        <v>66500</v>
      </c>
      <c r="M134" s="1">
        <v>0.46435790649899999</v>
      </c>
      <c r="N134" s="1">
        <v>66350</v>
      </c>
    </row>
    <row r="135" spans="1:14">
      <c r="A135" s="1"/>
      <c r="B135" s="1"/>
      <c r="E135" s="81"/>
      <c r="F135" s="1"/>
      <c r="I135" s="81">
        <v>4.5161407618500002E-2</v>
      </c>
      <c r="J135" s="1">
        <v>66500</v>
      </c>
      <c r="M135" s="1">
        <v>0.38620070174600002</v>
      </c>
      <c r="N135" s="1">
        <v>66350</v>
      </c>
    </row>
    <row r="136" spans="1:14">
      <c r="A136" s="1"/>
      <c r="B136" s="1"/>
      <c r="E136" s="81"/>
      <c r="F136" s="1"/>
      <c r="I136" s="81">
        <v>1.76848966554</v>
      </c>
      <c r="J136" s="1">
        <v>66600</v>
      </c>
      <c r="M136" s="1">
        <v>0.414887676687</v>
      </c>
      <c r="N136" s="1">
        <v>66350</v>
      </c>
    </row>
    <row r="137" spans="1:14">
      <c r="A137" s="1"/>
      <c r="B137" s="1"/>
      <c r="E137" s="81"/>
      <c r="F137" s="1"/>
      <c r="I137" s="81">
        <v>0.49245512207199998</v>
      </c>
      <c r="J137" s="1">
        <v>66600</v>
      </c>
      <c r="M137" s="1">
        <v>0.15905937522899999</v>
      </c>
      <c r="N137" s="1">
        <v>66350</v>
      </c>
    </row>
    <row r="138" spans="1:14">
      <c r="A138" s="1"/>
      <c r="B138" s="1"/>
      <c r="E138" s="81"/>
      <c r="F138" s="1"/>
      <c r="I138" s="81">
        <v>0.52267262033799999</v>
      </c>
      <c r="J138" s="1">
        <v>66600</v>
      </c>
      <c r="M138" s="1">
        <v>1.27574309399E-2</v>
      </c>
      <c r="N138" s="1">
        <v>66350</v>
      </c>
    </row>
    <row r="139" spans="1:14">
      <c r="A139" s="1"/>
      <c r="B139" s="1"/>
      <c r="E139" s="81"/>
      <c r="F139" s="1"/>
      <c r="I139" s="81">
        <v>0.30919433223600001</v>
      </c>
      <c r="J139" s="1">
        <v>66600</v>
      </c>
      <c r="M139" s="1">
        <v>1.1472324973400001</v>
      </c>
      <c r="N139" s="1">
        <v>66350</v>
      </c>
    </row>
    <row r="140" spans="1:14">
      <c r="A140" s="1"/>
      <c r="B140" s="1"/>
      <c r="E140" s="81"/>
      <c r="F140" s="1"/>
      <c r="I140" s="81">
        <v>0.64976537889800001</v>
      </c>
      <c r="J140" s="1">
        <v>66600</v>
      </c>
      <c r="M140" s="1">
        <v>0.27827489901199998</v>
      </c>
      <c r="N140" s="1">
        <v>66350</v>
      </c>
    </row>
    <row r="141" spans="1:14">
      <c r="A141" s="1"/>
      <c r="B141" s="1"/>
      <c r="E141" s="81"/>
      <c r="F141" s="1"/>
      <c r="I141" s="81">
        <v>0.57853937013800005</v>
      </c>
      <c r="J141" s="1">
        <v>66700</v>
      </c>
      <c r="M141" s="1">
        <v>1.34424415088</v>
      </c>
      <c r="N141" s="1">
        <v>66350</v>
      </c>
    </row>
    <row r="142" spans="1:14">
      <c r="A142" s="1"/>
      <c r="B142" s="1"/>
      <c r="E142" s="81"/>
      <c r="F142" s="1"/>
      <c r="I142" s="81">
        <v>0.30919433223600001</v>
      </c>
      <c r="J142" s="1">
        <v>66700</v>
      </c>
      <c r="M142" s="1">
        <v>0.21783737792399999</v>
      </c>
      <c r="N142" s="1">
        <v>66350</v>
      </c>
    </row>
    <row r="143" spans="1:14">
      <c r="A143" s="1"/>
      <c r="B143" s="1"/>
      <c r="E143" s="81"/>
      <c r="F143" s="1"/>
      <c r="I143" s="81">
        <v>0.22417112399899999</v>
      </c>
      <c r="J143" s="1">
        <v>66700</v>
      </c>
      <c r="M143" s="1">
        <v>1.3433508859600001</v>
      </c>
      <c r="N143" s="1">
        <v>66400</v>
      </c>
    </row>
    <row r="144" spans="1:14">
      <c r="A144" s="1"/>
      <c r="B144" s="1"/>
      <c r="E144" s="81"/>
      <c r="F144" s="1"/>
      <c r="I144" s="81">
        <v>0.46379149835299999</v>
      </c>
      <c r="J144" s="1">
        <v>66800</v>
      </c>
      <c r="M144" s="1">
        <v>0.99063454321699995</v>
      </c>
      <c r="N144" s="1">
        <v>66400</v>
      </c>
    </row>
    <row r="145" spans="1:14">
      <c r="A145" s="1"/>
      <c r="B145" s="1"/>
      <c r="E145" s="81"/>
      <c r="F145" s="1"/>
      <c r="I145" s="81">
        <v>3.6176326651799998E-2</v>
      </c>
      <c r="J145" s="1">
        <v>66900</v>
      </c>
      <c r="M145" s="1">
        <v>0.88076392046700003</v>
      </c>
      <c r="N145" s="1">
        <v>66400</v>
      </c>
    </row>
    <row r="146" spans="1:14">
      <c r="A146" s="1"/>
      <c r="B146" s="1"/>
      <c r="E146" s="81"/>
      <c r="F146" s="1"/>
      <c r="I146" s="81">
        <v>0.13568085135399999</v>
      </c>
      <c r="J146" s="1">
        <v>66900</v>
      </c>
      <c r="M146" s="1">
        <v>0.19654218368099999</v>
      </c>
      <c r="N146" s="1">
        <v>66400</v>
      </c>
    </row>
    <row r="147" spans="1:14">
      <c r="A147" s="1"/>
      <c r="B147" s="1"/>
      <c r="E147" s="81"/>
      <c r="F147" s="1"/>
      <c r="I147" s="81">
        <v>0.12932341021800001</v>
      </c>
      <c r="J147" s="1">
        <v>67100</v>
      </c>
      <c r="M147" s="1">
        <v>0.235591960323</v>
      </c>
      <c r="N147" s="1">
        <v>66400</v>
      </c>
    </row>
    <row r="148" spans="1:14">
      <c r="A148" s="1"/>
      <c r="B148" s="1"/>
      <c r="E148" s="81"/>
      <c r="F148" s="1"/>
      <c r="I148" s="81">
        <v>6.8137256507199997E-2</v>
      </c>
      <c r="J148" s="1">
        <v>67200</v>
      </c>
      <c r="M148" s="1">
        <v>0.29156154861900002</v>
      </c>
      <c r="N148" s="1">
        <v>66400</v>
      </c>
    </row>
    <row r="149" spans="1:14">
      <c r="A149" s="1"/>
      <c r="B149" s="1"/>
      <c r="E149" s="81"/>
      <c r="F149" s="1"/>
      <c r="I149" s="81"/>
      <c r="J149" s="1"/>
      <c r="M149" s="1">
        <v>0.58251278757699998</v>
      </c>
      <c r="N149" s="1">
        <v>66400</v>
      </c>
    </row>
    <row r="150" spans="1:14">
      <c r="A150" s="1"/>
      <c r="B150" s="1"/>
      <c r="E150" s="81"/>
      <c r="F150" s="1"/>
      <c r="I150" s="81"/>
      <c r="J150" s="1"/>
      <c r="M150" s="1">
        <v>4.2015734233799999E-2</v>
      </c>
      <c r="N150" s="1">
        <v>66400</v>
      </c>
    </row>
    <row r="151" spans="1:14">
      <c r="A151" s="1"/>
      <c r="B151" s="1"/>
      <c r="E151" s="81"/>
      <c r="F151" s="1"/>
      <c r="I151" s="81"/>
      <c r="J151" s="1"/>
      <c r="M151" s="1">
        <v>1.93354077143E-2</v>
      </c>
      <c r="N151" s="1">
        <v>66400</v>
      </c>
    </row>
    <row r="152" spans="1:14">
      <c r="A152" s="1"/>
      <c r="E152" s="81"/>
      <c r="F152" s="1"/>
      <c r="I152" s="81"/>
      <c r="J152" s="1"/>
      <c r="M152" s="1">
        <v>0.13222907446000001</v>
      </c>
      <c r="N152" s="1">
        <v>66400</v>
      </c>
    </row>
    <row r="153" spans="1:14">
      <c r="A153" s="1"/>
      <c r="E153" s="81"/>
      <c r="F153" s="1"/>
      <c r="I153" s="81"/>
      <c r="J153" s="1"/>
      <c r="M153" s="1">
        <v>0.52563036480100001</v>
      </c>
      <c r="N153" s="1">
        <v>66400</v>
      </c>
    </row>
    <row r="154" spans="1:14">
      <c r="A154" s="1"/>
      <c r="E154" s="81"/>
      <c r="F154" s="1"/>
      <c r="I154" s="81"/>
      <c r="J154" s="1"/>
      <c r="M154" s="1">
        <v>0.43207847706699998</v>
      </c>
      <c r="N154" s="1">
        <v>66400</v>
      </c>
    </row>
    <row r="155" spans="1:14">
      <c r="A155" s="1"/>
      <c r="E155" s="81"/>
      <c r="F155" s="1"/>
      <c r="I155" s="81"/>
      <c r="J155" s="1"/>
      <c r="M155" s="1">
        <v>1.6165426277199999E-2</v>
      </c>
      <c r="N155" s="1">
        <v>66400</v>
      </c>
    </row>
    <row r="156" spans="1:14">
      <c r="A156" s="1"/>
      <c r="E156" s="81"/>
      <c r="F156" s="1"/>
      <c r="I156" s="81"/>
      <c r="J156" s="1"/>
      <c r="M156" s="1">
        <v>0.60921948825200001</v>
      </c>
      <c r="N156" s="1">
        <v>66450</v>
      </c>
    </row>
    <row r="157" spans="1:14">
      <c r="A157" s="1"/>
      <c r="E157" s="81"/>
      <c r="F157" s="1"/>
      <c r="I157" s="81"/>
      <c r="J157" s="1"/>
      <c r="M157" s="1">
        <v>0.227360860602</v>
      </c>
      <c r="N157" s="1">
        <v>66450</v>
      </c>
    </row>
    <row r="158" spans="1:14">
      <c r="A158" s="1"/>
      <c r="E158" s="81"/>
      <c r="F158" s="1"/>
      <c r="I158" s="81"/>
      <c r="J158" s="1"/>
      <c r="M158" s="1">
        <v>0.11241699384999999</v>
      </c>
      <c r="N158" s="1">
        <v>66450</v>
      </c>
    </row>
    <row r="159" spans="1:14">
      <c r="E159" s="81"/>
      <c r="F159" s="1"/>
      <c r="I159" s="81"/>
      <c r="J159" s="1"/>
      <c r="M159" s="1">
        <v>0.30453239449500003</v>
      </c>
      <c r="N159" s="1">
        <v>66450</v>
      </c>
    </row>
    <row r="160" spans="1:14">
      <c r="E160" s="81"/>
      <c r="F160" s="1"/>
      <c r="I160" s="81"/>
      <c r="J160" s="1"/>
      <c r="M160" s="1">
        <v>0.37355618951500003</v>
      </c>
      <c r="N160" s="1">
        <v>66450</v>
      </c>
    </row>
    <row r="161" spans="1:14">
      <c r="E161" s="81"/>
      <c r="F161" s="1"/>
      <c r="I161" s="81"/>
      <c r="J161" s="1"/>
      <c r="M161" s="1">
        <v>0.27783396312999997</v>
      </c>
      <c r="N161" s="1">
        <v>66450</v>
      </c>
    </row>
    <row r="162" spans="1:14">
      <c r="E162" s="81"/>
      <c r="F162" s="1"/>
      <c r="I162" s="81"/>
      <c r="J162" s="1"/>
      <c r="M162" s="1">
        <v>0.14401682112</v>
      </c>
      <c r="N162" s="1">
        <v>66450</v>
      </c>
    </row>
    <row r="163" spans="1:14">
      <c r="E163" s="81"/>
      <c r="F163" s="1"/>
      <c r="I163" s="81"/>
      <c r="J163" s="1"/>
      <c r="M163" s="1">
        <v>0.54133660162300001</v>
      </c>
      <c r="N163" s="1">
        <v>66450</v>
      </c>
    </row>
    <row r="164" spans="1:14">
      <c r="E164" s="81"/>
      <c r="F164" s="1"/>
      <c r="I164" s="81"/>
      <c r="J164" s="1"/>
      <c r="M164" s="1">
        <v>8.7228308047099995E-2</v>
      </c>
      <c r="N164" s="1">
        <v>66450</v>
      </c>
    </row>
    <row r="165" spans="1:14">
      <c r="A165" s="30"/>
      <c r="E165" s="81"/>
      <c r="F165" s="1"/>
      <c r="I165" s="81"/>
      <c r="J165" s="1"/>
      <c r="M165" s="1">
        <v>0.15657831285900001</v>
      </c>
      <c r="N165" s="1">
        <v>66450</v>
      </c>
    </row>
    <row r="166" spans="1:14">
      <c r="E166" s="81"/>
      <c r="F166" s="1"/>
      <c r="I166" s="81"/>
      <c r="J166" s="1"/>
      <c r="M166" s="1">
        <v>1.1899502954000001</v>
      </c>
      <c r="N166" s="1">
        <v>66500</v>
      </c>
    </row>
    <row r="167" spans="1:14">
      <c r="E167" s="81"/>
      <c r="F167" s="1"/>
      <c r="I167" s="81"/>
      <c r="J167" s="1"/>
      <c r="M167" s="1">
        <v>1.17746006013</v>
      </c>
      <c r="N167" s="1">
        <v>66500</v>
      </c>
    </row>
    <row r="168" spans="1:14">
      <c r="E168" s="81"/>
      <c r="F168" s="1"/>
      <c r="I168" s="81"/>
      <c r="J168" s="1"/>
      <c r="M168" s="1">
        <v>0.48194237356399999</v>
      </c>
      <c r="N168" s="1">
        <v>66500</v>
      </c>
    </row>
    <row r="169" spans="1:14">
      <c r="E169" s="81"/>
      <c r="F169" s="1"/>
      <c r="I169" s="81"/>
      <c r="J169" s="1"/>
      <c r="M169" s="1">
        <v>0.14363919971</v>
      </c>
      <c r="N169" s="1">
        <v>66500</v>
      </c>
    </row>
    <row r="170" spans="1:14">
      <c r="E170" s="81"/>
      <c r="F170" s="1"/>
      <c r="I170" s="81"/>
      <c r="J170" s="1"/>
      <c r="M170" s="1">
        <v>0.83067248241500002</v>
      </c>
      <c r="N170" s="1">
        <v>66500</v>
      </c>
    </row>
    <row r="171" spans="1:14">
      <c r="E171" s="81"/>
      <c r="F171" s="1"/>
      <c r="I171" s="81"/>
      <c r="J171" s="1"/>
      <c r="M171" s="1">
        <v>0.253769478582</v>
      </c>
      <c r="N171" s="1">
        <v>66500</v>
      </c>
    </row>
    <row r="172" spans="1:14">
      <c r="E172" s="81"/>
      <c r="F172" s="1"/>
      <c r="I172" s="81"/>
      <c r="J172" s="1"/>
      <c r="M172" s="1">
        <v>9.7163799793399994E-2</v>
      </c>
      <c r="N172" s="1">
        <v>66500</v>
      </c>
    </row>
    <row r="173" spans="1:14">
      <c r="E173" s="81"/>
      <c r="F173" s="1"/>
      <c r="I173" s="81"/>
      <c r="J173" s="1"/>
      <c r="M173" s="1">
        <v>0.21418585909599999</v>
      </c>
      <c r="N173" s="1">
        <v>66500</v>
      </c>
    </row>
    <row r="174" spans="1:14">
      <c r="E174" s="81"/>
      <c r="F174" s="1"/>
      <c r="I174" s="81"/>
      <c r="J174" s="1"/>
      <c r="M174" s="1">
        <v>1.0080610237300001</v>
      </c>
      <c r="N174" s="1">
        <v>66550</v>
      </c>
    </row>
    <row r="175" spans="1:14">
      <c r="E175" s="81"/>
      <c r="F175" s="1"/>
      <c r="I175" s="81"/>
      <c r="J175" s="1"/>
      <c r="M175" s="1">
        <v>0.50006136500499998</v>
      </c>
      <c r="N175" s="1">
        <v>66550</v>
      </c>
    </row>
    <row r="176" spans="1:14">
      <c r="A176" s="30"/>
      <c r="E176" s="81"/>
      <c r="F176" s="1"/>
      <c r="I176" s="81"/>
      <c r="J176" s="1"/>
      <c r="M176" s="1">
        <v>0.52267262033799999</v>
      </c>
      <c r="N176" s="1">
        <v>66550</v>
      </c>
    </row>
    <row r="177" spans="1:14">
      <c r="A177" s="30"/>
      <c r="I177" s="81"/>
      <c r="J177" s="1"/>
      <c r="M177" s="1">
        <v>0.24579390298000001</v>
      </c>
      <c r="N177" s="1">
        <v>66550</v>
      </c>
    </row>
    <row r="178" spans="1:14">
      <c r="A178" s="30"/>
      <c r="I178" s="81"/>
      <c r="J178" s="1"/>
      <c r="M178" s="1">
        <v>1.72027805136</v>
      </c>
      <c r="N178" s="1">
        <v>66600</v>
      </c>
    </row>
    <row r="179" spans="1:14">
      <c r="A179" s="30"/>
      <c r="I179" s="81"/>
      <c r="J179" s="1"/>
      <c r="M179" s="1">
        <v>0.30919433223600001</v>
      </c>
      <c r="N179" s="1">
        <v>66600</v>
      </c>
    </row>
    <row r="180" spans="1:14">
      <c r="A180" s="30"/>
      <c r="I180" s="81"/>
      <c r="J180" s="1"/>
      <c r="M180" s="1">
        <v>0.600453740219</v>
      </c>
      <c r="N180" s="1">
        <v>66650</v>
      </c>
    </row>
    <row r="181" spans="1:14">
      <c r="A181" s="30"/>
      <c r="I181" s="81"/>
      <c r="J181" s="1"/>
      <c r="M181" s="1">
        <v>0.28926968506900003</v>
      </c>
      <c r="N181" s="1">
        <v>66750</v>
      </c>
    </row>
    <row r="182" spans="1:14">
      <c r="A182" s="30"/>
      <c r="I182" s="81"/>
      <c r="J182" s="1"/>
      <c r="M182" s="1">
        <v>0.55654979802399995</v>
      </c>
      <c r="N182" s="1">
        <v>66750</v>
      </c>
    </row>
    <row r="183" spans="1:14">
      <c r="A183" s="30"/>
      <c r="I183" s="81"/>
      <c r="J183" s="1"/>
      <c r="M183" s="1">
        <v>0.123677732894</v>
      </c>
      <c r="N183" s="1">
        <v>66850</v>
      </c>
    </row>
    <row r="184" spans="1:14">
      <c r="A184" s="30"/>
      <c r="I184" s="81"/>
      <c r="J184" s="1"/>
      <c r="M184" s="1">
        <v>0.57115897870400001</v>
      </c>
      <c r="N184" s="1">
        <v>66850</v>
      </c>
    </row>
    <row r="185" spans="1:14">
      <c r="A185" s="30"/>
      <c r="I185" s="81"/>
      <c r="J185" s="1"/>
      <c r="M185" s="1">
        <v>0.13568085135399999</v>
      </c>
      <c r="N185" s="1">
        <v>66900</v>
      </c>
    </row>
    <row r="186" spans="1:14">
      <c r="A186" s="30"/>
      <c r="I186" s="81"/>
      <c r="J186" s="1"/>
      <c r="M186" s="1">
        <v>0.12932341021800001</v>
      </c>
      <c r="N186" s="1">
        <v>67050</v>
      </c>
    </row>
    <row r="187" spans="1:14">
      <c r="I187" s="81"/>
      <c r="J187" s="1"/>
      <c r="M187" s="1"/>
      <c r="N187" s="1"/>
    </row>
    <row r="188" spans="1:14">
      <c r="I188" s="81"/>
      <c r="J188" s="1"/>
      <c r="M188" s="1"/>
      <c r="N188" s="1"/>
    </row>
    <row r="189" spans="1:14">
      <c r="I189" s="81"/>
      <c r="J189" s="1"/>
      <c r="M189" s="1"/>
      <c r="N189" s="1"/>
    </row>
    <row r="190" spans="1:14">
      <c r="I190" s="81"/>
      <c r="J190" s="1"/>
      <c r="M190" s="1"/>
      <c r="N190" s="1"/>
    </row>
    <row r="191" spans="1:14">
      <c r="I191" s="81"/>
      <c r="J191" s="1"/>
      <c r="M191" s="1"/>
      <c r="N191" s="1"/>
    </row>
    <row r="192" spans="1:14">
      <c r="I192" s="81"/>
      <c r="J192" s="1"/>
      <c r="M192" s="1"/>
      <c r="N192" s="1"/>
    </row>
    <row r="193" spans="9:14">
      <c r="I193" s="81"/>
      <c r="J193" s="1"/>
      <c r="M193" s="1"/>
      <c r="N193" s="1"/>
    </row>
    <row r="194" spans="9:14">
      <c r="I194" s="81"/>
      <c r="J194" s="1"/>
      <c r="M194" s="1"/>
      <c r="N194" s="1"/>
    </row>
    <row r="195" spans="9:14">
      <c r="I195" s="81"/>
      <c r="J195" s="1"/>
      <c r="M195" s="1"/>
      <c r="N195" s="1"/>
    </row>
    <row r="196" spans="9:14">
      <c r="I196" s="81"/>
      <c r="J196" s="1"/>
      <c r="M196" s="1"/>
      <c r="N196" s="1"/>
    </row>
    <row r="197" spans="9:14">
      <c r="I197" s="81"/>
      <c r="J197" s="1"/>
      <c r="M197" s="1"/>
      <c r="N197" s="1"/>
    </row>
    <row r="198" spans="9:14">
      <c r="I198" s="81"/>
      <c r="J198" s="1"/>
      <c r="M198" s="1"/>
      <c r="N198" s="1"/>
    </row>
    <row r="199" spans="9:14">
      <c r="I199" s="81"/>
      <c r="J199" s="1"/>
      <c r="M199" s="1"/>
      <c r="N199" s="1"/>
    </row>
    <row r="200" spans="9:14">
      <c r="I200" s="81"/>
      <c r="J200" s="1"/>
      <c r="M200" s="1"/>
      <c r="N200" s="1"/>
    </row>
    <row r="201" spans="9:14">
      <c r="I201" s="81"/>
      <c r="J201" s="1"/>
      <c r="M201" s="1"/>
      <c r="N201" s="1"/>
    </row>
    <row r="202" spans="9:14">
      <c r="M202" s="1"/>
      <c r="N202" s="1"/>
    </row>
    <row r="203" spans="9:14">
      <c r="M203" s="1"/>
      <c r="N203" s="1"/>
    </row>
    <row r="204" spans="9:14">
      <c r="M204" s="1"/>
      <c r="N204" s="1"/>
    </row>
    <row r="205" spans="9:14">
      <c r="M205" s="1"/>
      <c r="N205" s="1"/>
    </row>
    <row r="206" spans="9:14">
      <c r="M206" s="1"/>
      <c r="N206" s="1"/>
    </row>
    <row r="207" spans="9:14">
      <c r="M207" s="1"/>
      <c r="N207" s="1"/>
    </row>
    <row r="208" spans="9:14">
      <c r="M208" s="1"/>
      <c r="N208" s="1"/>
    </row>
    <row r="209" spans="13:14">
      <c r="M209" s="1"/>
      <c r="N209" s="1"/>
    </row>
    <row r="210" spans="13:14">
      <c r="M210" s="1"/>
      <c r="N210" s="1"/>
    </row>
    <row r="211" spans="13:14">
      <c r="M211" s="1"/>
      <c r="N211" s="1"/>
    </row>
    <row r="212" spans="13:14">
      <c r="M212" s="1"/>
      <c r="N212" s="1"/>
    </row>
    <row r="213" spans="13:14">
      <c r="M213" s="1"/>
      <c r="N213" s="1"/>
    </row>
    <row r="214" spans="13:14">
      <c r="M214" s="1"/>
      <c r="N214" s="1"/>
    </row>
    <row r="215" spans="13:14">
      <c r="M215" s="1"/>
      <c r="N215" s="1"/>
    </row>
    <row r="216" spans="13:14">
      <c r="M216" s="1"/>
      <c r="N216" s="1"/>
    </row>
    <row r="217" spans="13:14">
      <c r="M217" s="1"/>
      <c r="N217" s="1"/>
    </row>
    <row r="218" spans="13:14">
      <c r="M218" s="1"/>
      <c r="N218" s="1"/>
    </row>
    <row r="219" spans="13:14">
      <c r="M219" s="1"/>
      <c r="N219" s="1"/>
    </row>
    <row r="220" spans="13:14">
      <c r="M220" s="1"/>
      <c r="N220" s="1"/>
    </row>
    <row r="221" spans="13:14">
      <c r="M221" s="1"/>
      <c r="N221" s="1"/>
    </row>
    <row r="222" spans="13:14">
      <c r="M222" s="1"/>
      <c r="N222" s="1"/>
    </row>
    <row r="223" spans="13:14">
      <c r="M223" s="1"/>
      <c r="N223" s="1"/>
    </row>
    <row r="224" spans="13:14">
      <c r="M224" s="1"/>
      <c r="N224" s="1"/>
    </row>
    <row r="225" spans="13:14">
      <c r="M225" s="1"/>
      <c r="N225" s="1"/>
    </row>
    <row r="226" spans="13:14">
      <c r="M226" s="1"/>
      <c r="N226" s="1"/>
    </row>
    <row r="227" spans="13:14">
      <c r="M227" s="1"/>
      <c r="N227" s="1"/>
    </row>
    <row r="228" spans="13:14">
      <c r="M228" s="1"/>
      <c r="N228" s="1"/>
    </row>
    <row r="229" spans="13:14">
      <c r="M229" s="1"/>
      <c r="N229" s="1"/>
    </row>
    <row r="230" spans="13:14">
      <c r="M230" s="1"/>
      <c r="N230" s="1"/>
    </row>
    <row r="231" spans="13:14">
      <c r="M231" s="1"/>
      <c r="N231" s="1"/>
    </row>
    <row r="232" spans="13:14">
      <c r="M232" s="1"/>
      <c r="N232" s="1"/>
    </row>
    <row r="233" spans="13:14">
      <c r="M233" s="1"/>
      <c r="N233" s="1"/>
    </row>
    <row r="234" spans="13:14">
      <c r="M234" s="1"/>
      <c r="N234" s="1"/>
    </row>
    <row r="235" spans="13:14">
      <c r="M235" s="1"/>
      <c r="N235" s="1"/>
    </row>
    <row r="236" spans="13:14">
      <c r="M236" s="1"/>
      <c r="N236" s="1"/>
    </row>
    <row r="237" spans="13:14">
      <c r="M237" s="1"/>
      <c r="N237" s="1"/>
    </row>
    <row r="238" spans="13:14">
      <c r="M238" s="1"/>
      <c r="N238" s="1"/>
    </row>
    <row r="239" spans="13:14">
      <c r="M239" s="1"/>
      <c r="N239" s="1"/>
    </row>
    <row r="240" spans="13:14">
      <c r="M240" s="1"/>
      <c r="N240" s="1"/>
    </row>
    <row r="241" spans="13:14">
      <c r="M241" s="1"/>
      <c r="N241" s="1"/>
    </row>
    <row r="242" spans="13:14">
      <c r="M242" s="1"/>
      <c r="N242" s="1"/>
    </row>
    <row r="243" spans="13:14">
      <c r="M243" s="1"/>
      <c r="N243" s="1"/>
    </row>
    <row r="244" spans="13:14">
      <c r="M244" s="1"/>
      <c r="N244" s="1"/>
    </row>
    <row r="245" spans="13:14">
      <c r="M245" s="1"/>
      <c r="N245" s="1"/>
    </row>
    <row r="246" spans="13:14">
      <c r="M246" s="1"/>
      <c r="N246" s="1"/>
    </row>
    <row r="247" spans="13:14">
      <c r="M247" s="1"/>
      <c r="N247" s="1"/>
    </row>
    <row r="248" spans="13:14">
      <c r="M248" s="1"/>
      <c r="N248" s="1"/>
    </row>
    <row r="249" spans="13:14">
      <c r="M249" s="1"/>
      <c r="N249" s="1"/>
    </row>
    <row r="250" spans="13:14">
      <c r="M250" s="1"/>
      <c r="N250" s="1"/>
    </row>
    <row r="251" spans="13:14">
      <c r="M251" s="1"/>
      <c r="N251" s="1"/>
    </row>
    <row r="252" spans="13:14">
      <c r="M252" s="1"/>
      <c r="N252" s="1"/>
    </row>
    <row r="253" spans="13:14">
      <c r="M253" s="1"/>
      <c r="N253" s="1"/>
    </row>
    <row r="254" spans="13:14">
      <c r="M254" s="1"/>
      <c r="N254" s="1"/>
    </row>
    <row r="255" spans="13:14">
      <c r="M255" s="1"/>
      <c r="N255" s="1"/>
    </row>
    <row r="269" spans="13:14">
      <c r="M269" s="1"/>
      <c r="N269" s="1"/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54"/>
  <sheetViews>
    <sheetView workbookViewId="0">
      <pane ySplit="1" topLeftCell="A2" activePane="bottomLeft" state="frozen"/>
      <selection pane="bottomLeft" sqref="A1:B1048576"/>
    </sheetView>
  </sheetViews>
  <sheetFormatPr baseColWidth="10" defaultRowHeight="16"/>
  <cols>
    <col min="1" max="1" width="14.83203125" style="1" customWidth="1"/>
    <col min="2" max="2" width="14.83203125" style="108" customWidth="1"/>
    <col min="3" max="3" width="14.83203125" style="85" customWidth="1"/>
    <col min="4" max="4" width="20.83203125" style="110" customWidth="1"/>
    <col min="5" max="5" width="14.83203125" style="85" customWidth="1"/>
    <col min="6" max="6" width="20.83203125" style="107" customWidth="1"/>
    <col min="7" max="16384" width="10.83203125" style="5"/>
  </cols>
  <sheetData>
    <row r="1" spans="1:8" ht="34">
      <c r="A1" s="111" t="s">
        <v>17</v>
      </c>
      <c r="B1" s="112" t="s">
        <v>18</v>
      </c>
      <c r="C1" s="106" t="s">
        <v>19</v>
      </c>
      <c r="D1" s="109" t="s">
        <v>15</v>
      </c>
      <c r="E1" s="106" t="s">
        <v>19</v>
      </c>
      <c r="F1" s="105" t="s">
        <v>16</v>
      </c>
    </row>
    <row r="2" spans="1:8">
      <c r="A2" s="1">
        <v>-0.47135833859999998</v>
      </c>
      <c r="B2" s="108">
        <v>63125</v>
      </c>
      <c r="C2" s="85">
        <v>0.27715386062783332</v>
      </c>
      <c r="D2" s="110">
        <v>64800</v>
      </c>
      <c r="E2" s="85">
        <v>0.25666194225714284</v>
      </c>
      <c r="F2" s="107">
        <v>64800</v>
      </c>
      <c r="G2" s="79"/>
      <c r="H2" s="79"/>
    </row>
    <row r="3" spans="1:8">
      <c r="A3" s="1">
        <v>-1.5275501709999999</v>
      </c>
      <c r="B3" s="108">
        <v>63165</v>
      </c>
      <c r="C3" s="85">
        <v>0.48668319091416673</v>
      </c>
      <c r="D3" s="110">
        <v>64900.000000000007</v>
      </c>
      <c r="E3" s="85">
        <v>0.46542777740250002</v>
      </c>
      <c r="F3" s="107">
        <v>64849.999999999993</v>
      </c>
      <c r="G3" s="79"/>
      <c r="H3" s="79"/>
    </row>
    <row r="4" spans="1:8">
      <c r="A4" s="1">
        <v>-0.47135833859999998</v>
      </c>
      <c r="B4" s="108">
        <v>63285</v>
      </c>
      <c r="C4" s="85">
        <v>0.48347760906986659</v>
      </c>
      <c r="D4" s="110">
        <v>65000</v>
      </c>
      <c r="E4" s="85">
        <v>0.52039864428142857</v>
      </c>
      <c r="F4" s="107">
        <v>64900.000000000007</v>
      </c>
      <c r="G4" s="79"/>
      <c r="H4" s="79"/>
    </row>
    <row r="5" spans="1:8">
      <c r="A5" s="1">
        <v>-0.95144553539999999</v>
      </c>
      <c r="B5" s="108">
        <v>63325</v>
      </c>
      <c r="C5" s="85">
        <v>0.79174750891764711</v>
      </c>
      <c r="D5" s="110">
        <v>65099.999999999993</v>
      </c>
      <c r="E5" s="85">
        <v>0.31311868810399995</v>
      </c>
      <c r="F5" s="107">
        <v>64950</v>
      </c>
      <c r="G5" s="79"/>
      <c r="H5" s="79"/>
    </row>
    <row r="6" spans="1:8">
      <c r="A6" s="1">
        <v>-0.75941065669999996</v>
      </c>
      <c r="B6" s="108">
        <v>63350</v>
      </c>
      <c r="C6" s="85">
        <v>0.63491797158473684</v>
      </c>
      <c r="D6" s="110">
        <v>65200</v>
      </c>
      <c r="E6" s="85">
        <v>0.40040631934000004</v>
      </c>
      <c r="F6" s="107">
        <v>65000</v>
      </c>
      <c r="G6" s="79"/>
      <c r="H6" s="79"/>
    </row>
    <row r="7" spans="1:8">
      <c r="A7" s="1">
        <v>-0.47135833859999998</v>
      </c>
      <c r="B7" s="108">
        <v>63370</v>
      </c>
      <c r="C7" s="85">
        <v>5.7934720417647051E-2</v>
      </c>
      <c r="D7" s="110">
        <v>65300</v>
      </c>
      <c r="E7" s="85">
        <v>0.73254661121428566</v>
      </c>
      <c r="F7" s="107">
        <v>65050</v>
      </c>
      <c r="G7" s="79"/>
      <c r="H7" s="79"/>
    </row>
    <row r="8" spans="1:8">
      <c r="A8" s="1">
        <v>-0.75941065669999996</v>
      </c>
      <c r="B8" s="108">
        <v>63380</v>
      </c>
      <c r="C8" s="85">
        <v>9.3164358479999997E-3</v>
      </c>
      <c r="D8" s="110">
        <v>65400.000000000007</v>
      </c>
      <c r="E8" s="85">
        <v>0.98420588968999989</v>
      </c>
      <c r="F8" s="107">
        <v>65099.999999999993</v>
      </c>
      <c r="G8" s="79"/>
      <c r="H8" s="79"/>
    </row>
    <row r="9" spans="1:8">
      <c r="A9" s="1">
        <v>-0.47135833859999998</v>
      </c>
      <c r="B9" s="108">
        <v>63400</v>
      </c>
      <c r="C9" s="85">
        <v>-0.18589109476495999</v>
      </c>
      <c r="D9" s="110">
        <v>65500</v>
      </c>
      <c r="E9" s="85">
        <v>0.42839039838750004</v>
      </c>
      <c r="F9" s="107">
        <v>65150.000000000007</v>
      </c>
      <c r="G9" s="79"/>
      <c r="H9" s="79"/>
    </row>
    <row r="10" spans="1:8">
      <c r="A10" s="1">
        <v>1.067677523</v>
      </c>
      <c r="B10" s="108">
        <v>64703.75</v>
      </c>
      <c r="C10" s="85">
        <v>-0.55479914545000009</v>
      </c>
      <c r="D10" s="110">
        <v>65600</v>
      </c>
      <c r="E10" s="85">
        <v>0.95459443924285725</v>
      </c>
      <c r="F10" s="107">
        <v>65200</v>
      </c>
      <c r="G10" s="79"/>
      <c r="H10" s="79"/>
    </row>
    <row r="11" spans="1:8">
      <c r="A11" s="1">
        <v>0.75410230639999998</v>
      </c>
      <c r="B11" s="108">
        <v>64712.083330000001</v>
      </c>
      <c r="C11" s="85">
        <v>-0.1128355314841667</v>
      </c>
      <c r="D11" s="110">
        <v>65700</v>
      </c>
      <c r="E11" s="85">
        <v>0.47154928291750009</v>
      </c>
      <c r="F11" s="107">
        <v>65250</v>
      </c>
      <c r="G11" s="79"/>
      <c r="H11" s="79"/>
    </row>
    <row r="12" spans="1:8">
      <c r="A12" s="1">
        <v>0.49601062930000001</v>
      </c>
      <c r="B12" s="108">
        <v>64720.416669999999</v>
      </c>
      <c r="C12" s="85">
        <v>-0.11168294978950004</v>
      </c>
      <c r="D12" s="110">
        <v>65800</v>
      </c>
      <c r="E12" s="85">
        <v>-0.11117090439333335</v>
      </c>
      <c r="F12" s="107">
        <v>65300</v>
      </c>
      <c r="G12" s="79"/>
      <c r="H12" s="79"/>
    </row>
    <row r="13" spans="1:8">
      <c r="A13" s="1">
        <v>0.68416290000000002</v>
      </c>
      <c r="B13" s="108">
        <v>64728.75</v>
      </c>
      <c r="C13" s="85">
        <v>-2.6403847806060619E-2</v>
      </c>
      <c r="D13" s="110">
        <v>65900</v>
      </c>
      <c r="E13" s="85">
        <v>0.16754873951599997</v>
      </c>
      <c r="F13" s="107">
        <v>65349.999999999993</v>
      </c>
      <c r="G13" s="79"/>
      <c r="H13" s="79"/>
    </row>
    <row r="14" spans="1:8">
      <c r="A14" s="1">
        <v>0.64093249669999997</v>
      </c>
      <c r="B14" s="108">
        <v>64737.204550000002</v>
      </c>
      <c r="C14" s="85">
        <v>-3.2813603654774759E-2</v>
      </c>
      <c r="D14" s="110">
        <v>66000</v>
      </c>
      <c r="E14" s="85">
        <v>0.14462476850800005</v>
      </c>
      <c r="F14" s="107">
        <v>65400.000000000007</v>
      </c>
      <c r="G14" s="79"/>
      <c r="H14" s="79"/>
    </row>
    <row r="15" spans="1:8">
      <c r="A15" s="1">
        <v>4.7526434979999997E-2</v>
      </c>
      <c r="B15" s="108">
        <v>64746.022729999997</v>
      </c>
      <c r="C15" s="85">
        <v>-2.7469323023215954E-3</v>
      </c>
      <c r="D15" s="110">
        <v>66100</v>
      </c>
      <c r="E15" s="85">
        <v>-7.682451083099999E-2</v>
      </c>
      <c r="F15" s="107">
        <v>65450</v>
      </c>
      <c r="G15" s="79"/>
      <c r="H15" s="79"/>
    </row>
    <row r="16" spans="1:8">
      <c r="A16" s="1">
        <v>0.48139363899999998</v>
      </c>
      <c r="B16" s="108">
        <v>64754.840909999999</v>
      </c>
      <c r="C16" s="85">
        <v>0.60932298677171759</v>
      </c>
      <c r="D16" s="110">
        <v>66200</v>
      </c>
      <c r="E16" s="85">
        <v>-0.26414074874462501</v>
      </c>
      <c r="F16" s="107">
        <v>65500</v>
      </c>
      <c r="G16" s="79"/>
      <c r="H16" s="79"/>
    </row>
    <row r="17" spans="1:8">
      <c r="A17" s="1">
        <v>0.31618767749999999</v>
      </c>
      <c r="B17" s="108">
        <v>64763.659090000001</v>
      </c>
      <c r="C17" s="85">
        <v>0.49748552227466647</v>
      </c>
      <c r="D17" s="110">
        <v>66300</v>
      </c>
      <c r="E17" s="85">
        <v>-0.6276010029857142</v>
      </c>
      <c r="F17" s="107">
        <v>65550</v>
      </c>
      <c r="G17" s="79"/>
      <c r="H17" s="79"/>
    </row>
    <row r="18" spans="1:8">
      <c r="A18" s="1">
        <v>-6.4425072759999999E-3</v>
      </c>
      <c r="B18" s="108">
        <v>64772.477270000003</v>
      </c>
      <c r="C18" s="85">
        <v>-0.57089976248831242</v>
      </c>
      <c r="D18" s="110">
        <v>66400</v>
      </c>
      <c r="E18" s="85">
        <v>-0.57259196243333332</v>
      </c>
      <c r="F18" s="107">
        <v>65600</v>
      </c>
      <c r="G18" s="79"/>
      <c r="H18" s="79"/>
    </row>
    <row r="19" spans="1:8">
      <c r="A19" s="1">
        <v>0.2329698814</v>
      </c>
      <c r="B19" s="108">
        <v>64781.295449999998</v>
      </c>
      <c r="C19" s="85">
        <v>-0.85366286825236348</v>
      </c>
      <c r="D19" s="110">
        <v>66500</v>
      </c>
      <c r="E19" s="85">
        <v>-0.47853648178000008</v>
      </c>
      <c r="F19" s="107">
        <v>65650</v>
      </c>
      <c r="G19" s="79"/>
      <c r="H19" s="79"/>
    </row>
    <row r="20" spans="1:8">
      <c r="A20" s="1">
        <v>0.1205524858</v>
      </c>
      <c r="B20" s="108">
        <v>64790.113640000003</v>
      </c>
      <c r="C20" s="85">
        <v>-0.79379724091904769</v>
      </c>
      <c r="D20" s="110">
        <v>66600</v>
      </c>
      <c r="E20" s="85">
        <v>-5.4803809683492057E-2</v>
      </c>
      <c r="F20" s="107">
        <v>65700</v>
      </c>
      <c r="G20" s="79"/>
      <c r="H20" s="79"/>
    </row>
    <row r="21" spans="1:8">
      <c r="A21" s="1">
        <v>0.1205524858</v>
      </c>
      <c r="B21" s="108">
        <v>64798.931819999998</v>
      </c>
      <c r="C21" s="85">
        <v>-0.20833944101945459</v>
      </c>
      <c r="D21" s="110">
        <v>66700</v>
      </c>
      <c r="E21" s="85">
        <v>-0.47848340020124996</v>
      </c>
      <c r="F21" s="107">
        <v>65750</v>
      </c>
      <c r="G21" s="79"/>
      <c r="H21" s="79"/>
    </row>
    <row r="22" spans="1:8">
      <c r="A22" s="1">
        <v>0.19231887610000001</v>
      </c>
      <c r="B22" s="108">
        <v>64807.75</v>
      </c>
      <c r="C22" s="85">
        <v>-0.66673856929999997</v>
      </c>
      <c r="D22" s="110">
        <v>66800</v>
      </c>
      <c r="E22" s="85">
        <v>4.6643653818333332E-2</v>
      </c>
      <c r="F22" s="107">
        <v>65800</v>
      </c>
      <c r="G22" s="79"/>
      <c r="H22" s="79"/>
    </row>
    <row r="23" spans="1:8">
      <c r="A23" s="1">
        <v>0.25266139599999998</v>
      </c>
      <c r="B23" s="108">
        <v>64816.568180000002</v>
      </c>
      <c r="C23" s="85">
        <v>-0.57731538498222223</v>
      </c>
      <c r="D23" s="110">
        <v>66900</v>
      </c>
      <c r="E23" s="85">
        <v>-0.40053550660999998</v>
      </c>
      <c r="F23" s="107">
        <v>65850</v>
      </c>
      <c r="G23" s="79"/>
      <c r="H23" s="79"/>
    </row>
    <row r="24" spans="1:8">
      <c r="A24" s="1">
        <v>0.2281387476</v>
      </c>
      <c r="B24" s="108">
        <v>64821.234040000003</v>
      </c>
      <c r="C24" s="85">
        <v>-5.5755617749999944E-3</v>
      </c>
      <c r="D24" s="110">
        <v>67000</v>
      </c>
      <c r="E24" s="85">
        <v>-6.6972566854999943E-2</v>
      </c>
      <c r="F24" s="107">
        <v>65900</v>
      </c>
      <c r="G24" s="79"/>
      <c r="H24" s="79"/>
    </row>
    <row r="25" spans="1:8">
      <c r="A25" s="1">
        <v>0.64943972309999998</v>
      </c>
      <c r="B25" s="108">
        <v>64821.234040000003</v>
      </c>
      <c r="C25" s="85">
        <v>-0.33070722075850001</v>
      </c>
      <c r="D25" s="110">
        <v>67100</v>
      </c>
      <c r="E25" s="85">
        <v>0.39642060612055552</v>
      </c>
      <c r="F25" s="107">
        <v>65950</v>
      </c>
      <c r="G25" s="79"/>
      <c r="H25" s="79"/>
    </row>
    <row r="26" spans="1:8">
      <c r="A26" s="1">
        <v>2.7208033709999999E-2</v>
      </c>
      <c r="B26" s="108">
        <v>64825.386359999997</v>
      </c>
      <c r="C26" s="85">
        <v>-1.16213339346</v>
      </c>
      <c r="D26" s="110">
        <v>67200</v>
      </c>
      <c r="E26" s="85">
        <v>0.22696051773866663</v>
      </c>
      <c r="F26" s="107">
        <v>66000</v>
      </c>
      <c r="G26" s="79"/>
      <c r="H26" s="79"/>
    </row>
    <row r="27" spans="1:8">
      <c r="A27" s="1">
        <v>0.71086588880000001</v>
      </c>
      <c r="B27" s="108">
        <v>64835.846149999998</v>
      </c>
      <c r="E27" s="85">
        <v>-0.26808815981444167</v>
      </c>
      <c r="F27" s="107">
        <v>66050</v>
      </c>
    </row>
    <row r="28" spans="1:8">
      <c r="A28" s="1">
        <v>0.7242179151</v>
      </c>
      <c r="B28" s="108">
        <v>64851.230770000002</v>
      </c>
      <c r="E28" s="85">
        <v>-2.4560830607414898E-2</v>
      </c>
      <c r="F28" s="107">
        <v>66100</v>
      </c>
    </row>
    <row r="29" spans="1:8">
      <c r="A29" s="1">
        <v>0.39941927199999999</v>
      </c>
      <c r="B29" s="108">
        <v>64866.615380000003</v>
      </c>
      <c r="E29" s="85">
        <v>0.49280654890849995</v>
      </c>
      <c r="F29" s="107">
        <v>66150</v>
      </c>
    </row>
    <row r="30" spans="1:8">
      <c r="A30" s="1">
        <v>-4.2264853929999999E-2</v>
      </c>
      <c r="B30" s="108">
        <v>64881.432359999999</v>
      </c>
      <c r="E30" s="85">
        <v>0.65743922316801295</v>
      </c>
      <c r="F30" s="107">
        <v>66200</v>
      </c>
    </row>
    <row r="31" spans="1:8">
      <c r="A31" s="1">
        <v>0.2412275193</v>
      </c>
      <c r="B31" s="108">
        <v>64882</v>
      </c>
      <c r="E31" s="85">
        <v>0.89129859227038444</v>
      </c>
      <c r="F31" s="107">
        <v>66250</v>
      </c>
    </row>
    <row r="32" spans="1:8">
      <c r="A32" s="1">
        <v>0.56846633830000004</v>
      </c>
      <c r="B32" s="108">
        <v>64897.384619999997</v>
      </c>
      <c r="E32" s="85">
        <v>0.48998284286512811</v>
      </c>
      <c r="F32" s="107">
        <v>66300</v>
      </c>
    </row>
    <row r="33" spans="1:6">
      <c r="A33" s="1">
        <v>0.22512333819999999</v>
      </c>
      <c r="B33" s="108">
        <v>64901.978719999999</v>
      </c>
      <c r="E33" s="85">
        <v>-0.26714639399639217</v>
      </c>
      <c r="F33" s="107">
        <v>66350</v>
      </c>
    </row>
    <row r="34" spans="1:6">
      <c r="A34" s="1">
        <v>0.3909368661</v>
      </c>
      <c r="B34" s="108">
        <v>64901.978719999999</v>
      </c>
      <c r="E34" s="85">
        <v>-0.44445140416590917</v>
      </c>
      <c r="F34" s="107">
        <v>66400</v>
      </c>
    </row>
    <row r="35" spans="1:6">
      <c r="A35" s="1">
        <v>1.5102431860000001</v>
      </c>
      <c r="B35" s="108">
        <v>64911.791039999996</v>
      </c>
      <c r="E35" s="85">
        <v>-1.0138068669258049</v>
      </c>
      <c r="F35" s="107">
        <v>66450</v>
      </c>
    </row>
    <row r="36" spans="1:6">
      <c r="A36" s="1">
        <v>0.74905811600000005</v>
      </c>
      <c r="B36" s="108">
        <v>64911.791039999996</v>
      </c>
      <c r="E36" s="85">
        <v>-0.78256321887250002</v>
      </c>
      <c r="F36" s="107">
        <v>66500</v>
      </c>
    </row>
    <row r="37" spans="1:6">
      <c r="A37" s="1">
        <v>0.23487547810000001</v>
      </c>
      <c r="B37" s="108">
        <v>64928.153850000002</v>
      </c>
      <c r="E37" s="85">
        <v>-0.91325073765066689</v>
      </c>
      <c r="F37" s="107">
        <v>66550</v>
      </c>
    </row>
    <row r="38" spans="1:6">
      <c r="A38" s="1">
        <v>0.53160160170000004</v>
      </c>
      <c r="B38" s="108">
        <v>64939.022729999997</v>
      </c>
      <c r="E38" s="85">
        <v>-0.78174462740000006</v>
      </c>
      <c r="F38" s="107">
        <v>66600</v>
      </c>
    </row>
    <row r="39" spans="1:6">
      <c r="A39" s="1">
        <v>0.3072935141</v>
      </c>
      <c r="B39" s="108">
        <v>64948.386359999997</v>
      </c>
      <c r="E39" s="85">
        <v>-0.29628401686599998</v>
      </c>
      <c r="F39" s="107">
        <v>66650</v>
      </c>
    </row>
    <row r="40" spans="1:6">
      <c r="A40" s="1">
        <v>0.13706419719999999</v>
      </c>
      <c r="B40" s="108">
        <v>64957.75</v>
      </c>
      <c r="E40" s="85">
        <v>-0.30216740817333332</v>
      </c>
      <c r="F40" s="107">
        <v>66700</v>
      </c>
    </row>
    <row r="41" spans="1:6">
      <c r="A41" s="1">
        <v>0.33842377559999998</v>
      </c>
      <c r="B41" s="108">
        <v>64967.113640000003</v>
      </c>
      <c r="E41" s="85">
        <v>-0.53197227508057143</v>
      </c>
      <c r="F41" s="107">
        <v>66750</v>
      </c>
    </row>
    <row r="42" spans="1:6">
      <c r="A42" s="1">
        <v>0.64737577079999997</v>
      </c>
      <c r="B42" s="108">
        <v>64972.191489999997</v>
      </c>
      <c r="E42" s="85">
        <v>-0.61032170190000001</v>
      </c>
      <c r="F42" s="107">
        <v>66800</v>
      </c>
    </row>
    <row r="43" spans="1:6">
      <c r="A43" s="1">
        <v>-4.8035207719999999E-3</v>
      </c>
      <c r="B43" s="108">
        <v>64972.191489999997</v>
      </c>
      <c r="E43" s="85">
        <v>-0.29079368538</v>
      </c>
      <c r="F43" s="107">
        <v>66850</v>
      </c>
    </row>
    <row r="44" spans="1:6">
      <c r="A44" s="1">
        <v>-1.2791412679999999E-2</v>
      </c>
      <c r="B44" s="108">
        <v>64976.477270000003</v>
      </c>
      <c r="E44" s="85">
        <v>-0.70131994982000001</v>
      </c>
      <c r="F44" s="107">
        <v>66900</v>
      </c>
    </row>
    <row r="45" spans="1:6">
      <c r="A45" s="1">
        <v>0.4133984503</v>
      </c>
      <c r="B45" s="108">
        <v>64985.840909999999</v>
      </c>
      <c r="E45" s="85">
        <v>5.2002822986666621E-2</v>
      </c>
      <c r="F45" s="107">
        <v>66950</v>
      </c>
    </row>
    <row r="46" spans="1:6">
      <c r="A46" s="1">
        <v>0.62440420740000002</v>
      </c>
      <c r="B46" s="108">
        <v>64995.204550000002</v>
      </c>
      <c r="E46" s="85">
        <v>-0.30477306939999999</v>
      </c>
      <c r="F46" s="107">
        <v>67000</v>
      </c>
    </row>
    <row r="47" spans="1:6">
      <c r="A47" s="1">
        <v>0.1573870497</v>
      </c>
      <c r="B47" s="108">
        <v>65004.568180000002</v>
      </c>
      <c r="E47" s="85">
        <v>0.139022665983</v>
      </c>
      <c r="F47" s="107">
        <v>67050</v>
      </c>
    </row>
    <row r="48" spans="1:6">
      <c r="A48" s="1">
        <v>0.6540156708</v>
      </c>
      <c r="B48" s="108">
        <v>65009.404260000003</v>
      </c>
      <c r="E48" s="85">
        <v>-0.80043710749999997</v>
      </c>
      <c r="F48" s="107">
        <v>67100</v>
      </c>
    </row>
    <row r="49" spans="1:6">
      <c r="A49" s="1">
        <v>0.1332508999</v>
      </c>
      <c r="B49" s="108">
        <v>65009.404260000003</v>
      </c>
      <c r="E49" s="85">
        <v>-0.45687803809999999</v>
      </c>
      <c r="F49" s="107">
        <v>67150</v>
      </c>
    </row>
    <row r="50" spans="1:6">
      <c r="A50" s="1">
        <v>0.74710792800000003</v>
      </c>
      <c r="B50" s="108">
        <v>65013.931819999998</v>
      </c>
      <c r="E50" s="85">
        <v>-1.1140813519999999</v>
      </c>
      <c r="F50" s="107">
        <v>67200</v>
      </c>
    </row>
    <row r="51" spans="1:6">
      <c r="A51" s="1">
        <v>0.48647776129999998</v>
      </c>
      <c r="B51" s="108">
        <v>65023.295449999998</v>
      </c>
    </row>
    <row r="52" spans="1:6">
      <c r="A52" s="1">
        <v>0.92835730910000003</v>
      </c>
      <c r="B52" s="108">
        <v>65032.659090000001</v>
      </c>
    </row>
    <row r="53" spans="1:6">
      <c r="A53" s="1">
        <v>0.76681960739999999</v>
      </c>
      <c r="B53" s="108">
        <v>65039.546880000002</v>
      </c>
    </row>
    <row r="54" spans="1:6">
      <c r="A54" s="1">
        <v>1.2356764419999999</v>
      </c>
      <c r="B54" s="108">
        <v>65045.609380000002</v>
      </c>
    </row>
    <row r="55" spans="1:6">
      <c r="A55" s="1">
        <v>0.5563896612</v>
      </c>
      <c r="B55" s="108">
        <v>65051.671880000002</v>
      </c>
    </row>
    <row r="56" spans="1:6">
      <c r="A56" s="1">
        <v>0.4426288987</v>
      </c>
      <c r="B56" s="108">
        <v>65057.734369999998</v>
      </c>
    </row>
    <row r="57" spans="1:6">
      <c r="A57" s="1">
        <v>0.60596944909999995</v>
      </c>
      <c r="B57" s="108">
        <v>65063.796869999998</v>
      </c>
    </row>
    <row r="58" spans="1:6">
      <c r="A58" s="1">
        <v>0.59198491099999995</v>
      </c>
      <c r="B58" s="108">
        <v>65069.859369999998</v>
      </c>
    </row>
    <row r="59" spans="1:6">
      <c r="A59" s="1">
        <v>0.75855332519999996</v>
      </c>
      <c r="B59" s="108">
        <v>65075.921869999998</v>
      </c>
    </row>
    <row r="60" spans="1:6">
      <c r="A60" s="1">
        <v>0.98051835229999995</v>
      </c>
      <c r="B60" s="108">
        <v>65081.984380000002</v>
      </c>
    </row>
    <row r="61" spans="1:6">
      <c r="A61" s="1">
        <v>1.3457970349999999</v>
      </c>
      <c r="B61" s="108">
        <v>65088.046880000002</v>
      </c>
    </row>
    <row r="62" spans="1:6">
      <c r="A62" s="1">
        <v>1.1930350460000001</v>
      </c>
      <c r="B62" s="108">
        <v>65094.109380000002</v>
      </c>
    </row>
    <row r="63" spans="1:6">
      <c r="A63" s="1">
        <v>1.2503153650000001</v>
      </c>
      <c r="B63" s="108">
        <v>65100.171880000002</v>
      </c>
    </row>
    <row r="64" spans="1:6">
      <c r="A64" s="1">
        <v>1.0759488850000001</v>
      </c>
      <c r="B64" s="108">
        <v>65106.234380000002</v>
      </c>
    </row>
    <row r="65" spans="1:2">
      <c r="A65" s="1">
        <v>0.45279640999999998</v>
      </c>
      <c r="B65" s="108">
        <v>65111.690620000001</v>
      </c>
    </row>
    <row r="66" spans="1:2">
      <c r="A66" s="1">
        <v>0.9964221848</v>
      </c>
      <c r="B66" s="108">
        <v>65116.995309999998</v>
      </c>
    </row>
    <row r="67" spans="1:2">
      <c r="A67" s="1">
        <v>0.98306293180000004</v>
      </c>
      <c r="B67" s="108">
        <v>65118.359380000002</v>
      </c>
    </row>
    <row r="68" spans="1:2">
      <c r="A68" s="1">
        <v>0.80560936179999998</v>
      </c>
      <c r="B68" s="108">
        <v>65124.57344</v>
      </c>
    </row>
    <row r="69" spans="1:2">
      <c r="A69" s="1">
        <v>0.50681476510000001</v>
      </c>
      <c r="B69" s="108">
        <v>65130.63594</v>
      </c>
    </row>
    <row r="70" spans="1:2">
      <c r="A70" s="1">
        <v>0.39751305059999997</v>
      </c>
      <c r="B70" s="108">
        <v>65135.1</v>
      </c>
    </row>
    <row r="71" spans="1:2">
      <c r="A71" s="1">
        <v>0.51634801900000005</v>
      </c>
      <c r="B71" s="108">
        <v>65148.016669999997</v>
      </c>
    </row>
    <row r="72" spans="1:2">
      <c r="A72" s="1">
        <v>0.52588145389999996</v>
      </c>
      <c r="B72" s="108">
        <v>65153.18333</v>
      </c>
    </row>
    <row r="73" spans="1:2">
      <c r="A73" s="1">
        <v>0.32338167750000002</v>
      </c>
      <c r="B73" s="108">
        <v>65161.765959999997</v>
      </c>
    </row>
    <row r="74" spans="1:2">
      <c r="A74" s="1">
        <v>-1.2512039939999999</v>
      </c>
      <c r="B74" s="108">
        <v>65168.2</v>
      </c>
    </row>
    <row r="75" spans="1:2">
      <c r="A75" s="1">
        <v>1.056225092</v>
      </c>
      <c r="B75" s="108">
        <v>65168.68333</v>
      </c>
    </row>
    <row r="76" spans="1:2">
      <c r="A76" s="1">
        <v>1.352163123</v>
      </c>
      <c r="B76" s="108">
        <v>65171.266669999997</v>
      </c>
    </row>
    <row r="77" spans="1:2">
      <c r="A77" s="1">
        <v>1.0874017650000001</v>
      </c>
      <c r="B77" s="108">
        <v>65189.35</v>
      </c>
    </row>
    <row r="78" spans="1:2">
      <c r="A78" s="1">
        <v>0.98433522630000003</v>
      </c>
      <c r="B78" s="108">
        <v>65189.866670000003</v>
      </c>
    </row>
    <row r="79" spans="1:2">
      <c r="A79" s="1">
        <v>0.4861359764</v>
      </c>
      <c r="B79" s="108">
        <v>65197.46269</v>
      </c>
    </row>
    <row r="80" spans="1:2">
      <c r="A80" s="1">
        <v>0.17348092000000001</v>
      </c>
      <c r="B80" s="108">
        <v>65201.787230000002</v>
      </c>
    </row>
    <row r="81" spans="1:2">
      <c r="A81" s="1">
        <v>1.636172408</v>
      </c>
      <c r="B81" s="108">
        <v>65207.43333</v>
      </c>
    </row>
    <row r="82" spans="1:2">
      <c r="A82" s="1">
        <v>1.489053462</v>
      </c>
      <c r="B82" s="108">
        <v>65210.533329999998</v>
      </c>
    </row>
    <row r="83" spans="1:2">
      <c r="A83" s="1">
        <v>0.82558131700000004</v>
      </c>
      <c r="B83" s="108">
        <v>65223.731339999998</v>
      </c>
    </row>
    <row r="84" spans="1:2">
      <c r="A84" s="1">
        <v>1.0186883950000001</v>
      </c>
      <c r="B84" s="108">
        <v>65225.236360000003</v>
      </c>
    </row>
    <row r="85" spans="1:2">
      <c r="A85" s="1">
        <v>0.57482260080000003</v>
      </c>
      <c r="B85" s="108">
        <v>65227.836360000001</v>
      </c>
    </row>
    <row r="86" spans="1:2">
      <c r="A86" s="1">
        <v>-2.104486949E-2</v>
      </c>
      <c r="B86" s="108">
        <v>65233.50909</v>
      </c>
    </row>
    <row r="87" spans="1:2">
      <c r="A87" s="1">
        <v>0.35240125570000003</v>
      </c>
      <c r="B87" s="108">
        <v>65237.527269999999</v>
      </c>
    </row>
    <row r="88" spans="1:2">
      <c r="A88" s="1">
        <v>0.48714016119999998</v>
      </c>
      <c r="B88" s="108">
        <v>65239</v>
      </c>
    </row>
    <row r="89" spans="1:2">
      <c r="A89" s="1">
        <v>0.61995437630000005</v>
      </c>
      <c r="B89" s="108">
        <v>65241.545449999998</v>
      </c>
    </row>
    <row r="90" spans="1:2">
      <c r="A90" s="1">
        <v>0.34287111349999999</v>
      </c>
      <c r="B90" s="108">
        <v>65246.981820000001</v>
      </c>
    </row>
    <row r="91" spans="1:2">
      <c r="A91" s="1">
        <v>0.56037194530000001</v>
      </c>
      <c r="B91" s="108">
        <v>65253.945950000001</v>
      </c>
    </row>
    <row r="92" spans="1:2">
      <c r="A92" s="1">
        <v>0.1002311256</v>
      </c>
      <c r="B92" s="108">
        <v>65256.43636</v>
      </c>
    </row>
    <row r="93" spans="1:2">
      <c r="A93" s="1">
        <v>0.9149998627</v>
      </c>
      <c r="B93" s="108">
        <v>65265.890910000002</v>
      </c>
    </row>
    <row r="94" spans="1:2">
      <c r="A94" s="1">
        <v>0.90686467069999999</v>
      </c>
      <c r="B94" s="108">
        <v>65272</v>
      </c>
    </row>
    <row r="95" spans="1:2">
      <c r="A95" s="1">
        <v>-0.19870924230000001</v>
      </c>
      <c r="B95" s="108">
        <v>65274.00531</v>
      </c>
    </row>
    <row r="96" spans="1:2">
      <c r="A96" s="1">
        <v>-3.5011948389999999E-2</v>
      </c>
      <c r="B96" s="108">
        <v>65275.581819999999</v>
      </c>
    </row>
    <row r="97" spans="1:2">
      <c r="A97" s="1">
        <v>-0.2590668599</v>
      </c>
      <c r="B97" s="108">
        <v>65285.036359999998</v>
      </c>
    </row>
    <row r="98" spans="1:2">
      <c r="A98" s="1">
        <v>1.0456778099999999</v>
      </c>
      <c r="B98" s="108">
        <v>65286.119400000003</v>
      </c>
    </row>
    <row r="99" spans="1:2">
      <c r="A99" s="1">
        <v>-1.1706786790000001</v>
      </c>
      <c r="B99" s="108">
        <v>65286.268660000002</v>
      </c>
    </row>
    <row r="100" spans="1:2">
      <c r="A100" s="1">
        <v>-3.5011948389999999E-2</v>
      </c>
      <c r="B100" s="108">
        <v>65294.49091</v>
      </c>
    </row>
    <row r="101" spans="1:2">
      <c r="A101" s="1">
        <v>-0.2463752082</v>
      </c>
      <c r="B101" s="108">
        <v>65303.945449999999</v>
      </c>
    </row>
    <row r="102" spans="1:2">
      <c r="A102" s="1">
        <v>-0.15645964849999999</v>
      </c>
      <c r="B102" s="108">
        <v>65307.106379999997</v>
      </c>
    </row>
    <row r="103" spans="1:2">
      <c r="A103" s="1">
        <v>-0.2349524466</v>
      </c>
      <c r="B103" s="108">
        <v>65313.636359999997</v>
      </c>
    </row>
    <row r="104" spans="1:2">
      <c r="A104" s="1">
        <v>9.134078944E-2</v>
      </c>
      <c r="B104" s="108">
        <v>65323.090909999999</v>
      </c>
    </row>
    <row r="105" spans="1:2">
      <c r="A105" s="1">
        <v>-0.50141567239999996</v>
      </c>
      <c r="B105" s="108">
        <v>65334.653850000002</v>
      </c>
    </row>
    <row r="106" spans="1:2">
      <c r="A106" s="1">
        <v>0.24635073639999999</v>
      </c>
      <c r="B106" s="108">
        <v>65342.212769999998</v>
      </c>
    </row>
    <row r="107" spans="1:2">
      <c r="A107" s="1">
        <v>-4.326503936E-2</v>
      </c>
      <c r="B107" s="108">
        <v>65349.596149999998</v>
      </c>
    </row>
    <row r="108" spans="1:2">
      <c r="A108" s="1">
        <v>1.0371126049999999</v>
      </c>
      <c r="B108" s="108">
        <v>65359.063829999999</v>
      </c>
    </row>
    <row r="109" spans="1:2">
      <c r="A109" s="1">
        <v>9.8961067939999994E-2</v>
      </c>
      <c r="B109" s="108">
        <v>65364.538460000003</v>
      </c>
    </row>
    <row r="110" spans="1:2">
      <c r="A110" s="1">
        <v>0.1099131867</v>
      </c>
      <c r="B110" s="108">
        <v>65376.617019999998</v>
      </c>
    </row>
    <row r="111" spans="1:2">
      <c r="A111" s="1">
        <v>1.215728031</v>
      </c>
      <c r="B111" s="108">
        <v>65389.255319999997</v>
      </c>
    </row>
    <row r="112" spans="1:2">
      <c r="A112" s="1">
        <v>-9.6374360859999994E-2</v>
      </c>
      <c r="B112" s="108">
        <v>65402.686569999998</v>
      </c>
    </row>
    <row r="113" spans="1:2">
      <c r="A113" s="1">
        <v>-0.64066691279999999</v>
      </c>
      <c r="B113" s="108">
        <v>65412.42553</v>
      </c>
    </row>
    <row r="114" spans="1:2">
      <c r="A114" s="1">
        <v>0.13452389849999999</v>
      </c>
      <c r="B114" s="108">
        <v>65423.903850000002</v>
      </c>
    </row>
    <row r="115" spans="1:2">
      <c r="A115" s="1">
        <v>-0.89007052090000005</v>
      </c>
      <c r="B115" s="108">
        <v>65435.924140000003</v>
      </c>
    </row>
    <row r="116" spans="1:2">
      <c r="A116" s="1">
        <v>-0.60352230309999999</v>
      </c>
      <c r="B116" s="108">
        <v>65441.856899999999</v>
      </c>
    </row>
    <row r="117" spans="1:2">
      <c r="A117" s="1">
        <v>-0.27244033299999998</v>
      </c>
      <c r="B117" s="108">
        <v>65446.829790000003</v>
      </c>
    </row>
    <row r="118" spans="1:2">
      <c r="A118" s="1">
        <v>0.26601175780000003</v>
      </c>
      <c r="B118" s="108">
        <v>65450.340429999997</v>
      </c>
    </row>
    <row r="119" spans="1:2">
      <c r="A119" s="1">
        <v>1.632250891</v>
      </c>
      <c r="B119" s="108">
        <v>65450.340429999997</v>
      </c>
    </row>
    <row r="120" spans="1:2">
      <c r="A120" s="1">
        <v>-1.1527952779999999</v>
      </c>
      <c r="B120" s="108">
        <v>65459.468090000002</v>
      </c>
    </row>
    <row r="121" spans="1:2">
      <c r="A121" s="1">
        <v>-0.53312803740000003</v>
      </c>
      <c r="B121" s="108">
        <v>65465.587930000002</v>
      </c>
    </row>
    <row r="122" spans="1:2">
      <c r="A122" s="1">
        <v>-0.50759438509999999</v>
      </c>
      <c r="B122" s="108">
        <v>65466.5</v>
      </c>
    </row>
    <row r="123" spans="1:2">
      <c r="A123" s="1">
        <v>-4.8663854610000001E-2</v>
      </c>
      <c r="B123" s="108">
        <v>65470</v>
      </c>
    </row>
    <row r="124" spans="1:2">
      <c r="A124" s="1">
        <v>1.341706955</v>
      </c>
      <c r="B124" s="108">
        <v>65470.29178</v>
      </c>
    </row>
    <row r="125" spans="1:2">
      <c r="A125" s="1">
        <v>-0.18227745349999999</v>
      </c>
      <c r="B125" s="108">
        <v>65477.453450000001</v>
      </c>
    </row>
    <row r="126" spans="1:2">
      <c r="A126" s="1">
        <v>0.78563971710000002</v>
      </c>
      <c r="B126" s="108">
        <v>65482.2</v>
      </c>
    </row>
    <row r="127" spans="1:2">
      <c r="A127" s="1">
        <v>-3.4377089610000001E-2</v>
      </c>
      <c r="B127" s="108">
        <v>65483.225859999999</v>
      </c>
    </row>
    <row r="128" spans="1:2">
      <c r="A128" s="1">
        <v>-0.582595313</v>
      </c>
      <c r="B128" s="108">
        <v>65489.158620000002</v>
      </c>
    </row>
    <row r="129" spans="1:2">
      <c r="A129" s="1">
        <v>-0.80196809530000002</v>
      </c>
      <c r="B129" s="108">
        <v>65495.091379999998</v>
      </c>
    </row>
    <row r="130" spans="1:2">
      <c r="A130" s="1">
        <v>-5.7188655039999998E-3</v>
      </c>
      <c r="B130" s="108">
        <v>65499.552239999997</v>
      </c>
    </row>
    <row r="131" spans="1:2">
      <c r="A131" s="1">
        <v>0.2234096122</v>
      </c>
      <c r="B131" s="108">
        <v>65499.552239999997</v>
      </c>
    </row>
    <row r="132" spans="1:2">
      <c r="A132" s="1">
        <v>-0.7569601427</v>
      </c>
      <c r="B132" s="108">
        <v>65501.024140000001</v>
      </c>
    </row>
    <row r="133" spans="1:2">
      <c r="A133" s="1">
        <v>-0.40880406219999998</v>
      </c>
      <c r="B133" s="108">
        <v>65506.956899999997</v>
      </c>
    </row>
    <row r="134" spans="1:2">
      <c r="A134" s="1">
        <v>-0.4564907695</v>
      </c>
      <c r="B134" s="108">
        <v>65511.25</v>
      </c>
    </row>
    <row r="135" spans="1:2">
      <c r="A135" s="1">
        <v>-0.40420357379999999</v>
      </c>
      <c r="B135" s="108">
        <v>65511.25</v>
      </c>
    </row>
    <row r="136" spans="1:2">
      <c r="A136" s="1">
        <v>-0.40753529100000002</v>
      </c>
      <c r="B136" s="108">
        <v>65512.889660000001</v>
      </c>
    </row>
    <row r="137" spans="1:2">
      <c r="A137" s="1">
        <v>-0.1727572855</v>
      </c>
      <c r="B137" s="108">
        <v>65518.822410000001</v>
      </c>
    </row>
    <row r="138" spans="1:2">
      <c r="A138" s="1">
        <v>0.1463196541</v>
      </c>
      <c r="B138" s="108">
        <v>65521</v>
      </c>
    </row>
    <row r="139" spans="1:2">
      <c r="A139" s="1">
        <v>-0.46803103870000001</v>
      </c>
      <c r="B139" s="108">
        <v>65521</v>
      </c>
    </row>
    <row r="140" spans="1:2">
      <c r="A140" s="1">
        <v>-0.69990198299999995</v>
      </c>
      <c r="B140" s="108">
        <v>65524.755169999997</v>
      </c>
    </row>
    <row r="141" spans="1:2">
      <c r="A141" s="1">
        <v>-0.78295114499999996</v>
      </c>
      <c r="B141" s="108">
        <v>65532.426670000001</v>
      </c>
    </row>
    <row r="142" spans="1:2">
      <c r="A142" s="1">
        <v>-0.63586229289999996</v>
      </c>
      <c r="B142" s="108">
        <v>65541.553329999995</v>
      </c>
    </row>
    <row r="143" spans="1:2">
      <c r="A143" s="1">
        <v>-0.67834498340000005</v>
      </c>
      <c r="B143" s="108">
        <v>65550.679999999993</v>
      </c>
    </row>
    <row r="144" spans="1:2">
      <c r="A144" s="1">
        <v>-0.4164166218</v>
      </c>
      <c r="B144" s="108">
        <v>65559.806670000005</v>
      </c>
    </row>
    <row r="145" spans="1:2">
      <c r="A145" s="1">
        <v>-0.45513991129999998</v>
      </c>
      <c r="B145" s="108">
        <v>65566.25</v>
      </c>
    </row>
    <row r="146" spans="1:2">
      <c r="A146" s="1">
        <v>-0.96303683610000002</v>
      </c>
      <c r="B146" s="108">
        <v>65568.435010000001</v>
      </c>
    </row>
    <row r="147" spans="1:2">
      <c r="A147" s="1">
        <v>-0.46145523040000003</v>
      </c>
      <c r="B147" s="108">
        <v>65568.93333</v>
      </c>
    </row>
    <row r="148" spans="1:2">
      <c r="A148" s="1">
        <v>-0.82605519350000001</v>
      </c>
      <c r="B148" s="108">
        <v>65578.06</v>
      </c>
    </row>
    <row r="149" spans="1:2">
      <c r="A149" s="1">
        <v>-0.57054604269999998</v>
      </c>
      <c r="B149" s="108">
        <v>65587.186669999996</v>
      </c>
    </row>
    <row r="150" spans="1:2">
      <c r="A150" s="1">
        <v>-0.6436863826</v>
      </c>
      <c r="B150" s="108">
        <v>65587.765960000004</v>
      </c>
    </row>
    <row r="151" spans="1:2">
      <c r="A151" s="1">
        <v>-0.30094702890000002</v>
      </c>
      <c r="B151" s="108">
        <v>65596.313330000004</v>
      </c>
    </row>
    <row r="152" spans="1:2">
      <c r="A152" s="1">
        <v>-0.56103325579999996</v>
      </c>
      <c r="B152" s="108">
        <v>65612.262499999997</v>
      </c>
    </row>
    <row r="153" spans="1:2">
      <c r="A153" s="1">
        <v>-0.53328387109999997</v>
      </c>
      <c r="B153" s="108">
        <v>65617.506630000003</v>
      </c>
    </row>
    <row r="154" spans="1:2">
      <c r="A154" s="1">
        <v>-0.2476443878</v>
      </c>
      <c r="B154" s="108">
        <v>65636.774999999994</v>
      </c>
    </row>
    <row r="155" spans="1:2">
      <c r="A155" s="1">
        <v>-0.8292244621</v>
      </c>
      <c r="B155" s="108">
        <v>65661.287500000006</v>
      </c>
    </row>
    <row r="156" spans="1:2">
      <c r="A156" s="1">
        <v>1.1776206149999999</v>
      </c>
      <c r="B156" s="108">
        <v>65664.772729999997</v>
      </c>
    </row>
    <row r="157" spans="1:2">
      <c r="A157" s="1">
        <v>-1.1791361250000001</v>
      </c>
      <c r="B157" s="108">
        <v>65666.578250000006</v>
      </c>
    </row>
    <row r="158" spans="1:2">
      <c r="A158" s="1">
        <v>-1.314298049</v>
      </c>
      <c r="B158" s="108">
        <v>65668.335200000001</v>
      </c>
    </row>
    <row r="159" spans="1:2">
      <c r="A159" s="1">
        <v>-0.45828363010000001</v>
      </c>
      <c r="B159" s="108">
        <v>65685.8</v>
      </c>
    </row>
    <row r="160" spans="1:2">
      <c r="A160" s="1">
        <v>0.57015072749999995</v>
      </c>
      <c r="B160" s="108">
        <v>65687.327269999994</v>
      </c>
    </row>
    <row r="161" spans="1:2">
      <c r="A161" s="1">
        <v>-0.34538472920000002</v>
      </c>
      <c r="B161" s="108">
        <v>65688.363639999996</v>
      </c>
    </row>
    <row r="162" spans="1:2">
      <c r="A162" s="1">
        <v>0.83982706640000004</v>
      </c>
      <c r="B162" s="108">
        <v>65688.800000000003</v>
      </c>
    </row>
    <row r="163" spans="1:2">
      <c r="A163" s="1">
        <v>1.1096857710000001</v>
      </c>
      <c r="B163" s="108">
        <v>65689.454549999995</v>
      </c>
    </row>
    <row r="164" spans="1:2">
      <c r="A164" s="1">
        <v>1.325704038</v>
      </c>
      <c r="B164" s="108">
        <v>65689.890910000002</v>
      </c>
    </row>
    <row r="165" spans="1:2">
      <c r="A165" s="1">
        <v>5.5516539949999999E-2</v>
      </c>
      <c r="B165" s="108">
        <v>65689.953269999998</v>
      </c>
    </row>
    <row r="166" spans="1:2">
      <c r="A166" s="1">
        <v>1.325704038</v>
      </c>
      <c r="B166" s="108">
        <v>65690.545450000005</v>
      </c>
    </row>
    <row r="167" spans="1:2">
      <c r="A167" s="1">
        <v>0.24677984359999999</v>
      </c>
      <c r="B167" s="108">
        <v>65690.981820000001</v>
      </c>
    </row>
    <row r="168" spans="1:2">
      <c r="A168" s="1">
        <v>-1.044077626</v>
      </c>
      <c r="B168" s="108">
        <v>65691.636360000004</v>
      </c>
    </row>
    <row r="169" spans="1:2">
      <c r="A169" s="1">
        <v>-0.61425865889999998</v>
      </c>
      <c r="B169" s="108">
        <v>65691.636360000004</v>
      </c>
    </row>
    <row r="170" spans="1:2">
      <c r="A170" s="1">
        <v>0.3006567544</v>
      </c>
      <c r="B170" s="108">
        <v>65692.07273</v>
      </c>
    </row>
    <row r="171" spans="1:2">
      <c r="A171" s="1">
        <v>0.35454095969999999</v>
      </c>
      <c r="B171" s="108">
        <v>65692.07273</v>
      </c>
    </row>
    <row r="172" spans="1:2">
      <c r="A172" s="1">
        <v>0.83982706640000004</v>
      </c>
      <c r="B172" s="108">
        <v>65692.727270000003</v>
      </c>
    </row>
    <row r="173" spans="1:2">
      <c r="A173" s="1">
        <v>0.51623734359999995</v>
      </c>
      <c r="B173" s="108">
        <v>65693.163639999999</v>
      </c>
    </row>
    <row r="174" spans="1:2">
      <c r="A174" s="1">
        <v>-0.833238064</v>
      </c>
      <c r="B174" s="108">
        <v>65693.181819999998</v>
      </c>
    </row>
    <row r="175" spans="1:2">
      <c r="A175" s="1">
        <v>0.57015072749999995</v>
      </c>
      <c r="B175" s="108">
        <v>65693.818180000002</v>
      </c>
    </row>
    <row r="176" spans="1:2">
      <c r="A176" s="1">
        <v>0.139047906</v>
      </c>
      <c r="B176" s="108">
        <v>65694.254549999998</v>
      </c>
    </row>
    <row r="177" spans="1:2">
      <c r="A177" s="1">
        <v>8.5192879119999995E-2</v>
      </c>
      <c r="B177" s="108">
        <v>65694.909090000001</v>
      </c>
    </row>
    <row r="178" spans="1:2">
      <c r="A178" s="1">
        <v>-0.18397283580000001</v>
      </c>
      <c r="B178" s="108">
        <v>65695.345449999993</v>
      </c>
    </row>
    <row r="179" spans="1:2">
      <c r="A179" s="1">
        <v>0.1929102275</v>
      </c>
      <c r="B179" s="108">
        <v>65696</v>
      </c>
    </row>
    <row r="180" spans="1:2">
      <c r="A180" s="1">
        <v>0.73193464699999999</v>
      </c>
      <c r="B180" s="108">
        <v>65697.090909999999</v>
      </c>
    </row>
    <row r="181" spans="1:2">
      <c r="A181" s="1">
        <v>1.055699441</v>
      </c>
      <c r="B181" s="108">
        <v>65697.090909999999</v>
      </c>
    </row>
    <row r="182" spans="1:2">
      <c r="A182" s="1">
        <v>0.40843245969999997</v>
      </c>
      <c r="B182" s="108">
        <v>65697.527270000006</v>
      </c>
    </row>
    <row r="183" spans="1:2">
      <c r="A183" s="1">
        <v>-0.34538472920000002</v>
      </c>
      <c r="B183" s="108">
        <v>65698.181819999998</v>
      </c>
    </row>
    <row r="184" spans="1:2">
      <c r="A184" s="1">
        <v>0.1929102275</v>
      </c>
      <c r="B184" s="108">
        <v>65698.618180000005</v>
      </c>
    </row>
    <row r="185" spans="1:2">
      <c r="A185" s="1">
        <v>-0.88295022300000003</v>
      </c>
      <c r="B185" s="108">
        <v>65699.272729999997</v>
      </c>
    </row>
    <row r="186" spans="1:2">
      <c r="A186" s="1">
        <v>0.35454095969999999</v>
      </c>
      <c r="B186" s="108">
        <v>65699.272729999997</v>
      </c>
    </row>
    <row r="187" spans="1:2">
      <c r="A187" s="1">
        <v>-0.29158805929999998</v>
      </c>
      <c r="B187" s="108">
        <v>65699.709090000004</v>
      </c>
    </row>
    <row r="188" spans="1:2">
      <c r="A188" s="1">
        <v>0.67799937919999997</v>
      </c>
      <c r="B188" s="108">
        <v>65700.363639999996</v>
      </c>
    </row>
    <row r="189" spans="1:2">
      <c r="A189" s="1">
        <v>1.325704038</v>
      </c>
      <c r="B189" s="108">
        <v>65700.800000000003</v>
      </c>
    </row>
    <row r="190" spans="1:2">
      <c r="A190" s="1">
        <v>0.6240714061</v>
      </c>
      <c r="B190" s="108">
        <v>65701.454549999995</v>
      </c>
    </row>
    <row r="191" spans="1:2">
      <c r="A191" s="1">
        <v>-1.527065925</v>
      </c>
      <c r="B191" s="108">
        <v>65702.545450000005</v>
      </c>
    </row>
    <row r="192" spans="1:2">
      <c r="A192" s="1">
        <v>-7.6328433700000003E-2</v>
      </c>
      <c r="B192" s="108">
        <v>65702.981820000001</v>
      </c>
    </row>
    <row r="193" spans="1:2">
      <c r="A193" s="1">
        <v>-3.239572377</v>
      </c>
      <c r="B193" s="108">
        <v>65703.690910000005</v>
      </c>
    </row>
    <row r="194" spans="1:2">
      <c r="A194" s="1">
        <v>-2.4912699269999998</v>
      </c>
      <c r="B194" s="108">
        <v>65704.781820000004</v>
      </c>
    </row>
    <row r="195" spans="1:2">
      <c r="A195" s="1">
        <v>-2.3307333890000002</v>
      </c>
      <c r="B195" s="108">
        <v>65705.218179999996</v>
      </c>
    </row>
    <row r="196" spans="1:2">
      <c r="A196" s="1">
        <v>-0.66801156100000003</v>
      </c>
      <c r="B196" s="108">
        <v>65705.818180000002</v>
      </c>
    </row>
    <row r="197" spans="1:2">
      <c r="A197" s="1">
        <v>-0.50673097089999997</v>
      </c>
      <c r="B197" s="108">
        <v>65706.254549999998</v>
      </c>
    </row>
    <row r="198" spans="1:2">
      <c r="A198" s="1">
        <v>-0.61425865889999998</v>
      </c>
      <c r="B198" s="108">
        <v>65706.909090000001</v>
      </c>
    </row>
    <row r="199" spans="1:2">
      <c r="A199" s="1">
        <v>-7.6328433700000003E-2</v>
      </c>
      <c r="B199" s="108">
        <v>65707.345449999993</v>
      </c>
    </row>
    <row r="200" spans="1:2">
      <c r="A200" s="1">
        <v>-2.2495290720000002E-2</v>
      </c>
      <c r="B200" s="108">
        <v>65707.890910000002</v>
      </c>
    </row>
    <row r="201" spans="1:2">
      <c r="A201" s="1">
        <v>-0.56927768150000002</v>
      </c>
      <c r="B201" s="108">
        <v>65707.9375</v>
      </c>
    </row>
    <row r="202" spans="1:2">
      <c r="A202" s="1">
        <v>0.24677984359999999</v>
      </c>
      <c r="B202" s="108">
        <v>65708.436360000007</v>
      </c>
    </row>
    <row r="203" spans="1:2">
      <c r="A203" s="1">
        <v>-1.2588120380000001</v>
      </c>
      <c r="B203" s="108">
        <v>65709.090909999999</v>
      </c>
    </row>
    <row r="204" spans="1:2">
      <c r="A204" s="1">
        <v>-0.29158805929999998</v>
      </c>
      <c r="B204" s="108">
        <v>65709.527270000006</v>
      </c>
    </row>
    <row r="205" spans="1:2">
      <c r="A205" s="1">
        <v>-1.3124774050000001</v>
      </c>
      <c r="B205" s="108">
        <v>65710.181819999998</v>
      </c>
    </row>
    <row r="206" spans="1:2">
      <c r="A206" s="1">
        <v>3.1345146890000002E-2</v>
      </c>
      <c r="B206" s="108">
        <v>65710.181819999998</v>
      </c>
    </row>
    <row r="207" spans="1:2">
      <c r="A207" s="1">
        <v>-7.6328433700000003E-2</v>
      </c>
      <c r="B207" s="108">
        <v>65710.618180000005</v>
      </c>
    </row>
    <row r="208" spans="1:2">
      <c r="A208" s="1">
        <v>0.6240714061</v>
      </c>
      <c r="B208" s="108">
        <v>65711.272729999997</v>
      </c>
    </row>
    <row r="209" spans="1:2">
      <c r="A209" s="1">
        <v>0.67799937919999997</v>
      </c>
      <c r="B209" s="108">
        <v>65712.363639999996</v>
      </c>
    </row>
    <row r="210" spans="1:2">
      <c r="A210" s="1">
        <v>-0.18397283580000001</v>
      </c>
      <c r="B210" s="108">
        <v>65712.363639999996</v>
      </c>
    </row>
    <row r="211" spans="1:2">
      <c r="A211" s="1">
        <v>0.4623312544</v>
      </c>
      <c r="B211" s="108">
        <v>65715.636360000004</v>
      </c>
    </row>
    <row r="212" spans="1:2">
      <c r="A212" s="1">
        <v>8.5192879119999995E-2</v>
      </c>
      <c r="B212" s="108">
        <v>65715.636360000004</v>
      </c>
    </row>
    <row r="213" spans="1:2">
      <c r="A213" s="1">
        <v>7.1020612829999996E-2</v>
      </c>
      <c r="B213" s="108">
        <v>65716</v>
      </c>
    </row>
    <row r="214" spans="1:2">
      <c r="A214" s="1">
        <v>-0.23778409489999999</v>
      </c>
      <c r="B214" s="108">
        <v>65717.163639999999</v>
      </c>
    </row>
    <row r="215" spans="1:2">
      <c r="A215" s="1">
        <v>0.89378421809999997</v>
      </c>
      <c r="B215" s="108">
        <v>65718.909090000001</v>
      </c>
    </row>
    <row r="216" spans="1:2">
      <c r="A216" s="1">
        <v>-7.6328433700000003E-2</v>
      </c>
      <c r="B216" s="108">
        <v>65718.909090000001</v>
      </c>
    </row>
    <row r="217" spans="1:2">
      <c r="A217" s="1">
        <v>3.1345146890000002E-2</v>
      </c>
      <c r="B217" s="108">
        <v>65719.890910000002</v>
      </c>
    </row>
    <row r="218" spans="1:2">
      <c r="A218" s="1">
        <v>0.40843245969999997</v>
      </c>
      <c r="B218" s="108">
        <v>65719.890910000002</v>
      </c>
    </row>
    <row r="219" spans="1:2">
      <c r="A219" s="1">
        <v>-0.72987866050000005</v>
      </c>
      <c r="B219" s="108">
        <v>65720.840219999998</v>
      </c>
    </row>
    <row r="220" spans="1:2">
      <c r="A220" s="1">
        <v>0.53839482019999996</v>
      </c>
      <c r="B220" s="108">
        <v>65720.840219999998</v>
      </c>
    </row>
    <row r="221" spans="1:2">
      <c r="A221" s="1">
        <v>-7.8180459140000005E-2</v>
      </c>
      <c r="B221" s="108">
        <v>65724.25</v>
      </c>
    </row>
    <row r="222" spans="1:2">
      <c r="A222" s="1">
        <v>-1.122071622</v>
      </c>
      <c r="B222" s="108">
        <v>65732</v>
      </c>
    </row>
    <row r="223" spans="1:2">
      <c r="A223" s="1">
        <v>-0.84380283869999995</v>
      </c>
      <c r="B223" s="108">
        <v>65732.3125</v>
      </c>
    </row>
    <row r="224" spans="1:2">
      <c r="A224" s="1">
        <v>0.131850145</v>
      </c>
      <c r="B224" s="108">
        <v>65740.185679999995</v>
      </c>
    </row>
    <row r="225" spans="1:2">
      <c r="A225" s="1">
        <v>-0.13015428209999999</v>
      </c>
      <c r="B225" s="108">
        <v>65742.528739999994</v>
      </c>
    </row>
    <row r="226" spans="1:2">
      <c r="A226" s="1">
        <v>-0.56230163789999998</v>
      </c>
      <c r="B226" s="108">
        <v>65748.625</v>
      </c>
    </row>
    <row r="227" spans="1:2">
      <c r="A227" s="1">
        <v>-0.76736411550000005</v>
      </c>
      <c r="B227" s="108">
        <v>65750</v>
      </c>
    </row>
    <row r="228" spans="1:2">
      <c r="A228" s="1">
        <v>1.4066805789999999E-2</v>
      </c>
      <c r="B228" s="108">
        <v>65750</v>
      </c>
    </row>
    <row r="229" spans="1:2">
      <c r="A229" s="1">
        <v>-0.54808965620000005</v>
      </c>
      <c r="B229" s="108">
        <v>65750</v>
      </c>
    </row>
    <row r="230" spans="1:2">
      <c r="A230" s="1">
        <v>0.613326865</v>
      </c>
      <c r="B230" s="108">
        <v>65778</v>
      </c>
    </row>
    <row r="231" spans="1:2">
      <c r="A231" s="1">
        <v>0.24732714580000001</v>
      </c>
      <c r="B231" s="108">
        <v>65778</v>
      </c>
    </row>
    <row r="232" spans="1:2">
      <c r="A232" s="1">
        <v>0.84836136910000004</v>
      </c>
      <c r="B232" s="108">
        <v>65783.374299999996</v>
      </c>
    </row>
    <row r="233" spans="1:2">
      <c r="A233" s="1">
        <v>1.7032414410000001</v>
      </c>
      <c r="B233" s="108">
        <v>65788</v>
      </c>
    </row>
    <row r="234" spans="1:2">
      <c r="A234" s="1">
        <v>-4.3021800780000001E-2</v>
      </c>
      <c r="B234" s="108">
        <v>65803.75</v>
      </c>
    </row>
    <row r="235" spans="1:2">
      <c r="A235" s="1">
        <v>-1.715667659</v>
      </c>
      <c r="B235" s="108">
        <v>65808</v>
      </c>
    </row>
    <row r="236" spans="1:2">
      <c r="A236" s="1">
        <v>1.8789117470000001</v>
      </c>
      <c r="B236" s="108">
        <v>65809</v>
      </c>
    </row>
    <row r="237" spans="1:2">
      <c r="A237" s="1">
        <v>-0.69828623680000002</v>
      </c>
      <c r="B237" s="108">
        <v>65809</v>
      </c>
    </row>
    <row r="238" spans="1:2">
      <c r="A238" s="1">
        <v>-1.372493389</v>
      </c>
      <c r="B238" s="108">
        <v>65809</v>
      </c>
    </row>
    <row r="239" spans="1:2">
      <c r="A239" s="1">
        <v>-1.0468638189999999</v>
      </c>
      <c r="B239" s="108">
        <v>65817.5</v>
      </c>
    </row>
    <row r="240" spans="1:2">
      <c r="A240" s="1">
        <v>0.91563086429999996</v>
      </c>
      <c r="B240" s="108">
        <v>65819</v>
      </c>
    </row>
    <row r="241" spans="1:2">
      <c r="A241" s="1">
        <v>-0.77074268180000005</v>
      </c>
      <c r="B241" s="108">
        <v>65820</v>
      </c>
    </row>
    <row r="242" spans="1:2">
      <c r="A242" s="1">
        <v>-0.17208778359999999</v>
      </c>
      <c r="B242" s="108">
        <v>65829.545450000005</v>
      </c>
    </row>
    <row r="243" spans="1:2">
      <c r="A243" s="1">
        <v>-0.50673097089999997</v>
      </c>
      <c r="B243" s="108">
        <v>65839.080459999997</v>
      </c>
    </row>
    <row r="244" spans="1:2">
      <c r="A244" s="1">
        <v>-0.7754954812</v>
      </c>
      <c r="B244" s="108">
        <v>65839.080459999997</v>
      </c>
    </row>
    <row r="245" spans="1:2">
      <c r="A245" s="1">
        <v>-1.0468638189999999</v>
      </c>
      <c r="B245" s="108">
        <v>65840.3125</v>
      </c>
    </row>
    <row r="246" spans="1:2">
      <c r="A246" s="1">
        <v>1.009182179</v>
      </c>
      <c r="B246" s="108">
        <v>65845.908379999993</v>
      </c>
    </row>
    <row r="247" spans="1:2">
      <c r="A247" s="1">
        <v>-0.32983380600000001</v>
      </c>
      <c r="B247" s="108">
        <v>65863.125</v>
      </c>
    </row>
    <row r="248" spans="1:2">
      <c r="A248" s="1">
        <v>-2.1941118400000001</v>
      </c>
      <c r="B248" s="108">
        <v>65863.125</v>
      </c>
    </row>
    <row r="249" spans="1:2">
      <c r="A249" s="1">
        <v>1.0762840170000001</v>
      </c>
      <c r="B249" s="108">
        <v>65869.318180000002</v>
      </c>
    </row>
    <row r="250" spans="1:2">
      <c r="A250" s="1">
        <v>0.24677984359999999</v>
      </c>
      <c r="B250" s="108">
        <v>65871.264370000004</v>
      </c>
    </row>
    <row r="251" spans="1:2">
      <c r="A251" s="1">
        <v>-1.3124774050000001</v>
      </c>
      <c r="B251" s="108">
        <v>65871.264370000004</v>
      </c>
    </row>
    <row r="252" spans="1:2">
      <c r="A252" s="1">
        <v>0.37627122909999999</v>
      </c>
      <c r="B252" s="108">
        <v>65880.681819999998</v>
      </c>
    </row>
    <row r="253" spans="1:2">
      <c r="A253" s="1">
        <v>0.36832804879999997</v>
      </c>
      <c r="B253" s="108">
        <v>65882</v>
      </c>
    </row>
    <row r="254" spans="1:2">
      <c r="A254" s="1">
        <v>-2.1941118400000001</v>
      </c>
      <c r="B254" s="108">
        <v>65886.25</v>
      </c>
    </row>
    <row r="255" spans="1:2">
      <c r="A255" s="1">
        <v>0.62979296870000001</v>
      </c>
      <c r="B255" s="108">
        <v>65886.363639999996</v>
      </c>
    </row>
    <row r="256" spans="1:2">
      <c r="A256" s="1">
        <v>-0.61425865889999998</v>
      </c>
      <c r="B256" s="108">
        <v>65890.574710000001</v>
      </c>
    </row>
    <row r="257" spans="1:2">
      <c r="A257" s="1">
        <v>-0.29158805929999998</v>
      </c>
      <c r="B257" s="108">
        <v>65890.574710000001</v>
      </c>
    </row>
    <row r="258" spans="1:2">
      <c r="A258" s="1">
        <v>-1.2530913239999999</v>
      </c>
      <c r="B258" s="108">
        <v>65893.782609999995</v>
      </c>
    </row>
    <row r="259" spans="1:2">
      <c r="A259" s="1">
        <v>-0.49394324810000001</v>
      </c>
      <c r="B259" s="108">
        <v>65894.166670000006</v>
      </c>
    </row>
    <row r="260" spans="1:2">
      <c r="A260" s="1">
        <v>-0.18642780340000001</v>
      </c>
      <c r="B260" s="108">
        <v>65897.5</v>
      </c>
    </row>
    <row r="261" spans="1:2">
      <c r="A261" s="1">
        <v>2.75472115</v>
      </c>
      <c r="B261" s="108">
        <v>65899.003349999999</v>
      </c>
    </row>
    <row r="262" spans="1:2">
      <c r="A262" s="1">
        <v>-1.4785000850000001</v>
      </c>
      <c r="B262" s="108">
        <v>65902.391300000003</v>
      </c>
    </row>
    <row r="263" spans="1:2">
      <c r="A263" s="1">
        <v>-0.47323980859999998</v>
      </c>
      <c r="B263" s="108">
        <v>65909.0625</v>
      </c>
    </row>
    <row r="264" spans="1:2">
      <c r="A264" s="1">
        <v>0.24379020439999999</v>
      </c>
      <c r="B264" s="108">
        <v>65909.0625</v>
      </c>
    </row>
    <row r="265" spans="1:2">
      <c r="A265" s="1">
        <v>0.13211324169999999</v>
      </c>
      <c r="B265" s="108">
        <v>65909.090909999999</v>
      </c>
    </row>
    <row r="266" spans="1:2">
      <c r="A266" s="1">
        <v>-1.574078079</v>
      </c>
      <c r="B266" s="108">
        <v>65911</v>
      </c>
    </row>
    <row r="267" spans="1:2">
      <c r="A267" s="1">
        <v>0.39175997890000003</v>
      </c>
      <c r="B267" s="108">
        <v>65914.772729999997</v>
      </c>
    </row>
    <row r="268" spans="1:2">
      <c r="A268" s="1">
        <v>0.47145778020000001</v>
      </c>
      <c r="B268" s="108">
        <v>65914.772729999997</v>
      </c>
    </row>
    <row r="269" spans="1:2">
      <c r="A269" s="1">
        <v>0.24677984359999999</v>
      </c>
      <c r="B269" s="108">
        <v>65916.321840000004</v>
      </c>
    </row>
    <row r="270" spans="1:2">
      <c r="A270" s="1">
        <v>1.391038225</v>
      </c>
      <c r="B270" s="108">
        <v>65920.9375</v>
      </c>
    </row>
    <row r="271" spans="1:2">
      <c r="A271" s="1">
        <v>0.21373489879999999</v>
      </c>
      <c r="B271" s="108">
        <v>65923</v>
      </c>
    </row>
    <row r="272" spans="1:2">
      <c r="A272" s="1">
        <v>0.4017814656</v>
      </c>
      <c r="B272" s="108">
        <v>65926.136360000004</v>
      </c>
    </row>
    <row r="273" spans="1:2">
      <c r="A273" s="1">
        <v>0.40843245969999997</v>
      </c>
      <c r="B273" s="108">
        <v>65935.632180000001</v>
      </c>
    </row>
    <row r="274" spans="1:2">
      <c r="A274" s="1">
        <v>0.1003842018</v>
      </c>
      <c r="B274" s="108">
        <v>65936.5625</v>
      </c>
    </row>
    <row r="275" spans="1:2">
      <c r="A275" s="1">
        <v>1.0538704329999999</v>
      </c>
      <c r="B275" s="108">
        <v>65937.5</v>
      </c>
    </row>
    <row r="276" spans="1:2">
      <c r="A276" s="1">
        <v>0.24379020439999999</v>
      </c>
      <c r="B276" s="108">
        <v>65939.6875</v>
      </c>
    </row>
    <row r="277" spans="1:2">
      <c r="A277" s="1">
        <v>1.5344442279999999</v>
      </c>
      <c r="B277" s="108">
        <v>65945.9375</v>
      </c>
    </row>
    <row r="278" spans="1:2">
      <c r="A278" s="1">
        <v>-1.0050096470000001</v>
      </c>
      <c r="B278" s="108">
        <v>65947.600000000006</v>
      </c>
    </row>
    <row r="279" spans="1:2">
      <c r="A279" s="1">
        <v>0.24379020439999999</v>
      </c>
      <c r="B279" s="108">
        <v>65949.0625</v>
      </c>
    </row>
    <row r="280" spans="1:2">
      <c r="A280" s="1">
        <v>0.81741421489999999</v>
      </c>
      <c r="B280" s="108">
        <v>65952.1875</v>
      </c>
    </row>
    <row r="281" spans="1:2">
      <c r="A281" s="1">
        <v>0.7823397272</v>
      </c>
      <c r="B281" s="108">
        <v>65954.545450000005</v>
      </c>
    </row>
    <row r="282" spans="1:2">
      <c r="A282" s="1">
        <v>-0.10488899259999999</v>
      </c>
      <c r="B282" s="108">
        <v>65954.684210000007</v>
      </c>
    </row>
    <row r="283" spans="1:2">
      <c r="A283" s="1">
        <v>0.6240714061</v>
      </c>
      <c r="B283" s="108">
        <v>65961.379310000004</v>
      </c>
    </row>
    <row r="284" spans="1:2">
      <c r="A284" s="1">
        <v>0.67799937919999997</v>
      </c>
      <c r="B284" s="108">
        <v>65961.379310000004</v>
      </c>
    </row>
    <row r="285" spans="1:2">
      <c r="A285" s="1">
        <v>0.24379020439999999</v>
      </c>
      <c r="B285" s="108">
        <v>65961.5625</v>
      </c>
    </row>
    <row r="286" spans="1:2">
      <c r="A286" s="1">
        <v>0.81741421489999999</v>
      </c>
      <c r="B286" s="108">
        <v>65961.5625</v>
      </c>
    </row>
    <row r="287" spans="1:2">
      <c r="A287" s="1">
        <v>-5.1348982930000002E-2</v>
      </c>
      <c r="B287" s="108">
        <v>65962.127370000002</v>
      </c>
    </row>
    <row r="288" spans="1:2">
      <c r="A288" s="1">
        <v>0.53060220970000005</v>
      </c>
      <c r="B288" s="108">
        <v>65967.8125</v>
      </c>
    </row>
    <row r="289" spans="1:2">
      <c r="A289" s="1">
        <v>-0.18330602060000001</v>
      </c>
      <c r="B289" s="108">
        <v>65969</v>
      </c>
    </row>
    <row r="290" spans="1:2">
      <c r="A290" s="1">
        <v>0.67400821229999996</v>
      </c>
      <c r="B290" s="108">
        <v>65977.1875</v>
      </c>
    </row>
    <row r="291" spans="1:2">
      <c r="A291" s="1">
        <v>1.0017204049999999</v>
      </c>
      <c r="B291" s="108">
        <v>65983.908049999998</v>
      </c>
    </row>
    <row r="292" spans="1:2">
      <c r="A292" s="1">
        <v>-0.32983380600000001</v>
      </c>
      <c r="B292" s="108">
        <v>65984.21875</v>
      </c>
    </row>
    <row r="293" spans="1:2">
      <c r="A293" s="1">
        <v>-2.7639302090000002E-2</v>
      </c>
      <c r="B293" s="108">
        <v>65987.199999999997</v>
      </c>
    </row>
    <row r="294" spans="1:2">
      <c r="A294" s="1">
        <v>1.9646622359999999</v>
      </c>
      <c r="B294" s="108">
        <v>65987.34375</v>
      </c>
    </row>
    <row r="295" spans="1:2">
      <c r="A295" s="1">
        <v>-1.473429737</v>
      </c>
      <c r="B295" s="108">
        <v>65990.344830000002</v>
      </c>
    </row>
    <row r="296" spans="1:2">
      <c r="A296" s="1">
        <v>0.81741421489999999</v>
      </c>
      <c r="B296" s="108">
        <v>65990.46875</v>
      </c>
    </row>
    <row r="297" spans="1:2">
      <c r="A297" s="1">
        <v>0.81741421489999999</v>
      </c>
      <c r="B297" s="108">
        <v>65993.59375</v>
      </c>
    </row>
    <row r="298" spans="1:2">
      <c r="A298" s="1">
        <v>-0.33857578090000001</v>
      </c>
      <c r="B298" s="108">
        <v>65995</v>
      </c>
    </row>
    <row r="299" spans="1:2">
      <c r="A299" s="1">
        <v>4.9782077149999999E-2</v>
      </c>
      <c r="B299" s="108">
        <v>65996.25</v>
      </c>
    </row>
    <row r="300" spans="1:2">
      <c r="A300" s="1">
        <v>-0.24901190610000001</v>
      </c>
      <c r="B300" s="108">
        <v>65996.604649999994</v>
      </c>
    </row>
    <row r="301" spans="1:2">
      <c r="A301" s="1">
        <v>1.1042262199999999</v>
      </c>
      <c r="B301" s="108">
        <v>65996.71875</v>
      </c>
    </row>
    <row r="302" spans="1:2">
      <c r="A302" s="1">
        <v>0.81741421489999999</v>
      </c>
      <c r="B302" s="108">
        <v>65999.84375</v>
      </c>
    </row>
    <row r="303" spans="1:2">
      <c r="A303" s="1">
        <v>-0.52000864970000005</v>
      </c>
      <c r="B303" s="108">
        <v>66000</v>
      </c>
    </row>
    <row r="304" spans="1:2">
      <c r="A304" s="1">
        <v>-1.3239139129999999</v>
      </c>
      <c r="B304" s="108">
        <v>66000</v>
      </c>
    </row>
    <row r="305" spans="1:2">
      <c r="A305" s="1">
        <v>-0.18330602060000001</v>
      </c>
      <c r="B305" s="108">
        <v>66000</v>
      </c>
    </row>
    <row r="306" spans="1:2">
      <c r="A306" s="1">
        <v>1.343734389</v>
      </c>
      <c r="B306" s="108">
        <v>66001.785709999996</v>
      </c>
    </row>
    <row r="307" spans="1:2">
      <c r="A307" s="1">
        <v>0.49326263539999998</v>
      </c>
      <c r="B307" s="108">
        <v>66008.928570000004</v>
      </c>
    </row>
    <row r="308" spans="1:2">
      <c r="A308" s="1">
        <v>0.61850702589999995</v>
      </c>
      <c r="B308" s="108">
        <v>66008.928570000004</v>
      </c>
    </row>
    <row r="309" spans="1:2">
      <c r="A309" s="1">
        <v>-0.27265318389999998</v>
      </c>
      <c r="B309" s="108">
        <v>66011.178450000007</v>
      </c>
    </row>
    <row r="310" spans="1:2">
      <c r="A310" s="1">
        <v>1.6778502310000001</v>
      </c>
      <c r="B310" s="108">
        <v>66011.875</v>
      </c>
    </row>
    <row r="311" spans="1:2">
      <c r="A311" s="1">
        <v>0.57604250140000002</v>
      </c>
      <c r="B311" s="108">
        <v>66012.5</v>
      </c>
    </row>
    <row r="312" spans="1:2">
      <c r="A312" s="1">
        <v>-0.85327493489999995</v>
      </c>
      <c r="B312" s="108">
        <v>66012.883719999998</v>
      </c>
    </row>
    <row r="313" spans="1:2">
      <c r="A313" s="1">
        <v>0.18364617720000001</v>
      </c>
      <c r="B313" s="108">
        <v>66020.697669999994</v>
      </c>
    </row>
    <row r="314" spans="1:2">
      <c r="A314" s="1">
        <v>0.55899420629999996</v>
      </c>
      <c r="B314" s="108">
        <v>66021.428570000004</v>
      </c>
    </row>
    <row r="315" spans="1:2">
      <c r="A315" s="1">
        <v>0.16823202700000001</v>
      </c>
      <c r="B315" s="108">
        <v>66022.399999999994</v>
      </c>
    </row>
    <row r="316" spans="1:2">
      <c r="A316" s="1">
        <v>-0.52000864970000005</v>
      </c>
      <c r="B316" s="108">
        <v>66022.491580000002</v>
      </c>
    </row>
    <row r="317" spans="1:2">
      <c r="A317" s="1">
        <v>0.53060220970000005</v>
      </c>
      <c r="B317" s="108">
        <v>66024.375</v>
      </c>
    </row>
    <row r="318" spans="1:2">
      <c r="A318" s="1">
        <v>-0.33449205030000001</v>
      </c>
      <c r="B318" s="108">
        <v>66024.511780000001</v>
      </c>
    </row>
    <row r="319" spans="1:2">
      <c r="A319" s="1">
        <v>-0.16254973170000001</v>
      </c>
      <c r="B319" s="108">
        <v>66024.627219999995</v>
      </c>
    </row>
    <row r="320" spans="1:2">
      <c r="A320" s="1">
        <v>0.9151138405</v>
      </c>
      <c r="B320" s="108">
        <v>66025</v>
      </c>
    </row>
    <row r="321" spans="1:2">
      <c r="A321" s="1">
        <v>1.1431547989999999</v>
      </c>
      <c r="B321" s="108">
        <v>66026.785709999996</v>
      </c>
    </row>
    <row r="322" spans="1:2">
      <c r="A322" s="1">
        <v>-0.52000864970000005</v>
      </c>
      <c r="B322" s="108">
        <v>66027.609429999997</v>
      </c>
    </row>
    <row r="323" spans="1:2">
      <c r="A323" s="1">
        <v>1.1992289860000001</v>
      </c>
      <c r="B323" s="108">
        <v>66028.571429999996</v>
      </c>
    </row>
    <row r="324" spans="1:2">
      <c r="A324" s="1">
        <v>-1.9245846959999999</v>
      </c>
      <c r="B324" s="108">
        <v>66028.7</v>
      </c>
    </row>
    <row r="325" spans="1:2">
      <c r="A325" s="1">
        <v>-0.1337212911</v>
      </c>
      <c r="B325" s="108">
        <v>66029.005919999996</v>
      </c>
    </row>
    <row r="326" spans="1:2">
      <c r="A326" s="1">
        <v>-0.33543935940000003</v>
      </c>
      <c r="B326" s="108">
        <v>66029.005919999996</v>
      </c>
    </row>
    <row r="327" spans="1:2">
      <c r="A327" s="1">
        <v>3.6174960760000001</v>
      </c>
      <c r="B327" s="108">
        <v>66029.005919999996</v>
      </c>
    </row>
    <row r="328" spans="1:2">
      <c r="A328" s="1">
        <v>0.81741421489999999</v>
      </c>
      <c r="B328" s="108">
        <v>66030</v>
      </c>
    </row>
    <row r="329" spans="1:2">
      <c r="A329" s="1">
        <v>1.0958704429999999</v>
      </c>
      <c r="B329" s="108">
        <v>66030.357139999993</v>
      </c>
    </row>
    <row r="330" spans="1:2">
      <c r="A330" s="1">
        <v>-0.82920298189999997</v>
      </c>
      <c r="B330" s="108">
        <v>66030.707070000004</v>
      </c>
    </row>
    <row r="331" spans="1:2">
      <c r="A331" s="1">
        <v>-0.15601991649999999</v>
      </c>
      <c r="B331" s="108">
        <v>66032.53731</v>
      </c>
    </row>
    <row r="332" spans="1:2">
      <c r="A332" s="1">
        <v>0.93476308340000003</v>
      </c>
      <c r="B332" s="108">
        <v>66032.857139999993</v>
      </c>
    </row>
    <row r="333" spans="1:2">
      <c r="A333" s="1">
        <v>-0.27265318389999998</v>
      </c>
      <c r="B333" s="108">
        <v>66032.996629999994</v>
      </c>
    </row>
    <row r="334" spans="1:2">
      <c r="A334" s="1">
        <v>-2.004141444</v>
      </c>
      <c r="B334" s="108">
        <v>66034.882150000005</v>
      </c>
    </row>
    <row r="335" spans="1:2">
      <c r="A335" s="1">
        <v>-1.6822932749999999</v>
      </c>
      <c r="B335" s="108">
        <v>66035.3</v>
      </c>
    </row>
    <row r="336" spans="1:2">
      <c r="A336" s="1">
        <v>1.2290987010000001</v>
      </c>
      <c r="B336" s="108">
        <v>66035.870389999996</v>
      </c>
    </row>
    <row r="337" spans="1:2">
      <c r="A337" s="1">
        <v>0.54654887630000004</v>
      </c>
      <c r="B337" s="108">
        <v>66036.428570000004</v>
      </c>
    </row>
    <row r="338" spans="1:2">
      <c r="A338" s="1">
        <v>0.81741421489999999</v>
      </c>
      <c r="B338" s="108">
        <v>66036.875</v>
      </c>
    </row>
    <row r="339" spans="1:2">
      <c r="A339" s="1">
        <v>-1.2620750469999999</v>
      </c>
      <c r="B339" s="108">
        <v>66037</v>
      </c>
    </row>
    <row r="340" spans="1:2">
      <c r="A340" s="1">
        <v>-0.18642780340000001</v>
      </c>
      <c r="B340" s="108">
        <v>66037.1875</v>
      </c>
    </row>
    <row r="341" spans="1:2">
      <c r="A341" s="1">
        <v>-0.11652747519999999</v>
      </c>
      <c r="B341" s="108">
        <v>66037.75</v>
      </c>
    </row>
    <row r="342" spans="1:2">
      <c r="A342" s="1">
        <v>-7.2219549059999999E-2</v>
      </c>
      <c r="B342" s="108">
        <v>66037.9375</v>
      </c>
    </row>
    <row r="343" spans="1:2">
      <c r="A343" s="1">
        <v>-0.27120909479999999</v>
      </c>
      <c r="B343" s="108">
        <v>66038.0625</v>
      </c>
    </row>
    <row r="344" spans="1:2">
      <c r="A344" s="1">
        <v>-2.3476382130000002</v>
      </c>
      <c r="B344" s="108">
        <v>66038.125</v>
      </c>
    </row>
    <row r="345" spans="1:2">
      <c r="A345" s="1">
        <v>-0.67854661910000003</v>
      </c>
      <c r="B345" s="108">
        <v>66038.1875</v>
      </c>
    </row>
    <row r="346" spans="1:2">
      <c r="A346" s="1">
        <v>-0.94025270599999999</v>
      </c>
      <c r="B346" s="108">
        <v>66038.25</v>
      </c>
    </row>
    <row r="347" spans="1:2">
      <c r="A347" s="1">
        <v>-1.0006587440000001</v>
      </c>
      <c r="B347" s="108">
        <v>66038.25</v>
      </c>
    </row>
    <row r="348" spans="1:2">
      <c r="A348" s="1">
        <v>-0.25227735600000001</v>
      </c>
      <c r="B348" s="108">
        <v>66038.5</v>
      </c>
    </row>
    <row r="349" spans="1:2">
      <c r="A349" s="1">
        <v>-0.37843815079999998</v>
      </c>
      <c r="B349" s="108">
        <v>66038.625</v>
      </c>
    </row>
    <row r="350" spans="1:2">
      <c r="A350" s="1">
        <v>-0.30094382139999998</v>
      </c>
      <c r="B350" s="108">
        <v>66038.625</v>
      </c>
    </row>
    <row r="351" spans="1:2">
      <c r="A351" s="1">
        <v>-0.1201609303</v>
      </c>
      <c r="B351" s="108">
        <v>66038.75</v>
      </c>
    </row>
    <row r="352" spans="1:2">
      <c r="A352" s="1">
        <v>-0.372906285</v>
      </c>
      <c r="B352" s="108">
        <v>66038.768750000003</v>
      </c>
    </row>
    <row r="353" spans="1:2">
      <c r="A353" s="1">
        <v>-0.3064771785</v>
      </c>
      <c r="B353" s="108">
        <v>66038.868749999994</v>
      </c>
    </row>
    <row r="354" spans="1:2">
      <c r="A354" s="1">
        <v>-0.64195655659999995</v>
      </c>
      <c r="B354" s="108">
        <v>66039.168749999997</v>
      </c>
    </row>
    <row r="355" spans="1:2">
      <c r="A355" s="1">
        <v>-0.95216307850000004</v>
      </c>
      <c r="B355" s="108">
        <v>66039.268750000003</v>
      </c>
    </row>
    <row r="356" spans="1:2">
      <c r="A356" s="1">
        <v>-3.2991033010000002</v>
      </c>
      <c r="B356" s="108">
        <v>66039.368749999994</v>
      </c>
    </row>
    <row r="357" spans="1:2">
      <c r="A357" s="1">
        <v>-3.9401520510000001</v>
      </c>
      <c r="B357" s="108">
        <v>66039.368749999994</v>
      </c>
    </row>
    <row r="358" spans="1:2">
      <c r="A358" s="1">
        <v>5.7885883940000001E-2</v>
      </c>
      <c r="B358" s="108">
        <v>66039.46875</v>
      </c>
    </row>
    <row r="359" spans="1:2">
      <c r="A359" s="1">
        <v>-0.13528361289999999</v>
      </c>
      <c r="B359" s="108">
        <v>66039.568750000006</v>
      </c>
    </row>
    <row r="360" spans="1:2">
      <c r="A360" s="1">
        <v>-1.0572188789999999</v>
      </c>
      <c r="B360" s="108">
        <v>66039.600000000006</v>
      </c>
    </row>
    <row r="361" spans="1:2">
      <c r="A361" s="1">
        <v>1.8184576429999999</v>
      </c>
      <c r="B361" s="108">
        <v>66039.666670000006</v>
      </c>
    </row>
    <row r="362" spans="1:2">
      <c r="A362" s="1">
        <v>-0.2516438875</v>
      </c>
      <c r="B362" s="108">
        <v>66039.668749999997</v>
      </c>
    </row>
    <row r="363" spans="1:2">
      <c r="A363" s="1">
        <v>0.28522334249999998</v>
      </c>
      <c r="B363" s="108">
        <v>66039.868749999994</v>
      </c>
    </row>
    <row r="364" spans="1:2">
      <c r="A364" s="1">
        <v>0.2838966141</v>
      </c>
      <c r="B364" s="108">
        <v>66040</v>
      </c>
    </row>
    <row r="365" spans="1:2">
      <c r="A365" s="1">
        <v>1.39699621</v>
      </c>
      <c r="B365" s="108">
        <v>66040</v>
      </c>
    </row>
    <row r="366" spans="1:2">
      <c r="A366" s="1">
        <v>-0.8611469773</v>
      </c>
      <c r="B366" s="108">
        <v>66040</v>
      </c>
    </row>
    <row r="367" spans="1:2">
      <c r="A367" s="1">
        <v>-0.37534089929999997</v>
      </c>
      <c r="B367" s="108">
        <v>66040</v>
      </c>
    </row>
    <row r="368" spans="1:2">
      <c r="A368" s="1">
        <v>-1.1055483230000001</v>
      </c>
      <c r="B368" s="108">
        <v>66040.241649999996</v>
      </c>
    </row>
    <row r="369" spans="1:2">
      <c r="A369" s="1">
        <v>0.1054637717</v>
      </c>
      <c r="B369" s="108">
        <v>66040.600000000006</v>
      </c>
    </row>
    <row r="370" spans="1:2">
      <c r="A370" s="1">
        <v>-1.7208906660000001</v>
      </c>
      <c r="B370" s="108">
        <v>66042</v>
      </c>
    </row>
    <row r="371" spans="1:2">
      <c r="A371" s="1">
        <v>0.59961506959999999</v>
      </c>
      <c r="B371" s="108">
        <v>66042.137310000006</v>
      </c>
    </row>
    <row r="372" spans="1:2">
      <c r="A372" s="1">
        <v>-1.4770818269999999</v>
      </c>
      <c r="B372" s="108">
        <v>66042.583329999994</v>
      </c>
    </row>
    <row r="373" spans="1:2">
      <c r="A373" s="1">
        <v>-1.1902698220000001</v>
      </c>
      <c r="B373" s="108">
        <v>66042.583329999994</v>
      </c>
    </row>
    <row r="374" spans="1:2">
      <c r="A374" s="1">
        <v>1.647465666</v>
      </c>
      <c r="B374" s="108">
        <v>66042.994999999995</v>
      </c>
    </row>
    <row r="375" spans="1:2">
      <c r="A375" s="1">
        <v>3.6541148359999998E-2</v>
      </c>
      <c r="B375" s="108">
        <v>66043.474900000001</v>
      </c>
    </row>
    <row r="376" spans="1:2">
      <c r="A376" s="1">
        <v>8.1782211689999995E-2</v>
      </c>
      <c r="B376" s="108">
        <v>66044.2</v>
      </c>
    </row>
    <row r="377" spans="1:2">
      <c r="A377" s="1">
        <v>1.3022145420000001E-2</v>
      </c>
      <c r="B377" s="108">
        <v>66045</v>
      </c>
    </row>
    <row r="378" spans="1:2">
      <c r="A378" s="1">
        <v>-1.333675824</v>
      </c>
      <c r="B378" s="108">
        <v>66045.166670000006</v>
      </c>
    </row>
    <row r="379" spans="1:2">
      <c r="A379" s="1">
        <v>-0.18336928899999999</v>
      </c>
      <c r="B379" s="108">
        <v>66045.581290000002</v>
      </c>
    </row>
    <row r="380" spans="1:2">
      <c r="A380" s="1">
        <v>-6.6817273460000007E-2</v>
      </c>
      <c r="B380" s="108">
        <v>66045.581290000002</v>
      </c>
    </row>
    <row r="381" spans="1:2">
      <c r="A381" s="1">
        <v>-1.102889426</v>
      </c>
      <c r="B381" s="108">
        <v>66046.469880000004</v>
      </c>
    </row>
    <row r="382" spans="1:2">
      <c r="A382" s="1">
        <v>2.0826870959999999</v>
      </c>
      <c r="B382" s="108">
        <v>66046.86262</v>
      </c>
    </row>
    <row r="383" spans="1:2">
      <c r="A383" s="1">
        <v>-0.57334942830000002</v>
      </c>
      <c r="B383" s="108">
        <v>66047.171029999998</v>
      </c>
    </row>
    <row r="384" spans="1:2">
      <c r="A384" s="1">
        <v>-0.68948884939999999</v>
      </c>
      <c r="B384" s="108">
        <v>66047.5</v>
      </c>
    </row>
    <row r="385" spans="1:2">
      <c r="A385" s="1">
        <v>1.6209492569999999</v>
      </c>
      <c r="B385" s="108">
        <v>66047.5</v>
      </c>
    </row>
    <row r="386" spans="1:2">
      <c r="A386" s="1">
        <v>-0.90345781650000001</v>
      </c>
      <c r="B386" s="108">
        <v>66047.75</v>
      </c>
    </row>
    <row r="387" spans="1:2">
      <c r="A387" s="1">
        <v>0.1609932406</v>
      </c>
      <c r="B387" s="108">
        <v>66048.312390000006</v>
      </c>
    </row>
    <row r="388" spans="1:2">
      <c r="A388" s="1">
        <v>-1.172020571</v>
      </c>
      <c r="B388" s="108">
        <v>66048.7</v>
      </c>
    </row>
    <row r="389" spans="1:2">
      <c r="A389" s="1">
        <v>0.1803612138</v>
      </c>
      <c r="B389" s="108">
        <v>66049</v>
      </c>
    </row>
    <row r="390" spans="1:2">
      <c r="A390" s="1">
        <v>2.2050354830000001</v>
      </c>
      <c r="B390" s="108">
        <v>66049.206999999995</v>
      </c>
    </row>
    <row r="391" spans="1:2">
      <c r="A391" s="1">
        <v>0.22387554300000001</v>
      </c>
      <c r="B391" s="108">
        <v>66050.759999999995</v>
      </c>
    </row>
    <row r="392" spans="1:2">
      <c r="A392" s="1">
        <v>-1.626152947</v>
      </c>
      <c r="B392" s="108">
        <v>66052.100000000006</v>
      </c>
    </row>
    <row r="393" spans="1:2">
      <c r="A393" s="1">
        <v>-0.47323980859999998</v>
      </c>
      <c r="B393" s="108">
        <v>66052.916670000006</v>
      </c>
    </row>
    <row r="394" spans="1:2">
      <c r="A394" s="1">
        <v>-0.97880957889999998</v>
      </c>
      <c r="B394" s="108">
        <v>66052.939759999994</v>
      </c>
    </row>
    <row r="395" spans="1:2">
      <c r="A395" s="1">
        <v>-0.65870724599999997</v>
      </c>
      <c r="B395" s="108">
        <v>66053.278999999995</v>
      </c>
    </row>
    <row r="396" spans="1:2">
      <c r="A396" s="1">
        <v>9.5608242450000002E-3</v>
      </c>
      <c r="B396" s="108">
        <v>66053.364249999999</v>
      </c>
    </row>
    <row r="397" spans="1:2">
      <c r="A397" s="1">
        <v>-0.44731803399999998</v>
      </c>
      <c r="B397" s="108">
        <v>66053.865999999995</v>
      </c>
    </row>
    <row r="398" spans="1:2">
      <c r="A398" s="1">
        <v>-0.7912395794</v>
      </c>
      <c r="B398" s="108">
        <v>66054</v>
      </c>
    </row>
    <row r="399" spans="1:2">
      <c r="A399" s="1">
        <v>-0.27319369510000002</v>
      </c>
      <c r="B399" s="108">
        <v>66054.899999999994</v>
      </c>
    </row>
    <row r="400" spans="1:2">
      <c r="A400" s="1">
        <v>1.09103675E-2</v>
      </c>
      <c r="B400" s="108">
        <v>66055.149220000007</v>
      </c>
    </row>
    <row r="401" spans="1:2">
      <c r="A401" s="1">
        <v>-0.2998739695</v>
      </c>
      <c r="B401" s="108">
        <v>66055.149220000007</v>
      </c>
    </row>
    <row r="402" spans="1:2">
      <c r="A402" s="1">
        <v>0.39227596539999998</v>
      </c>
      <c r="B402" s="108">
        <v>66056.5</v>
      </c>
    </row>
    <row r="403" spans="1:2">
      <c r="A403" s="1">
        <v>-0.43797687219999998</v>
      </c>
      <c r="B403" s="108">
        <v>66056.548540000003</v>
      </c>
    </row>
    <row r="404" spans="1:2">
      <c r="A404" s="1">
        <v>0.25202432250000001</v>
      </c>
      <c r="B404" s="108">
        <v>66056.971999999994</v>
      </c>
    </row>
    <row r="405" spans="1:2">
      <c r="A405" s="1">
        <v>-0.23832970000000001</v>
      </c>
      <c r="B405" s="108">
        <v>66057.3</v>
      </c>
    </row>
    <row r="406" spans="1:2">
      <c r="A406" s="1">
        <v>-0.76005181389999998</v>
      </c>
      <c r="B406" s="108">
        <v>66058.083329999994</v>
      </c>
    </row>
    <row r="407" spans="1:2">
      <c r="A407" s="1">
        <v>-0.83519215339999997</v>
      </c>
      <c r="B407" s="108">
        <v>66058.2</v>
      </c>
    </row>
    <row r="408" spans="1:2">
      <c r="A408" s="1">
        <v>-0.2201950392</v>
      </c>
      <c r="B408" s="108">
        <v>66058.343200000003</v>
      </c>
    </row>
    <row r="409" spans="1:2">
      <c r="A409" s="1">
        <v>-0.47940795670000003</v>
      </c>
      <c r="B409" s="108">
        <v>66058.343200000003</v>
      </c>
    </row>
    <row r="410" spans="1:2">
      <c r="A410" s="1">
        <v>0.53125207990000001</v>
      </c>
      <c r="B410" s="108">
        <v>66058.532819999993</v>
      </c>
    </row>
    <row r="411" spans="1:2">
      <c r="A411" s="1">
        <v>-1.3815515089999999</v>
      </c>
      <c r="B411" s="108">
        <v>66059.409639999998</v>
      </c>
    </row>
    <row r="412" spans="1:2">
      <c r="A412" s="1">
        <v>-0.20674061569999999</v>
      </c>
      <c r="B412" s="108">
        <v>66060.077999999994</v>
      </c>
    </row>
    <row r="413" spans="1:2">
      <c r="A413" s="1">
        <v>0.1374762336</v>
      </c>
      <c r="B413" s="108">
        <v>66060.100000000006</v>
      </c>
    </row>
    <row r="414" spans="1:2">
      <c r="A414" s="1">
        <v>-0.52877822240000005</v>
      </c>
      <c r="B414" s="108">
        <v>66060.108089999994</v>
      </c>
    </row>
    <row r="415" spans="1:2">
      <c r="A415" s="1">
        <v>-0.64785933399999995</v>
      </c>
      <c r="B415" s="108">
        <v>66061.5</v>
      </c>
    </row>
    <row r="416" spans="1:2">
      <c r="A416" s="1">
        <v>1.0017204049999999</v>
      </c>
      <c r="B416" s="108">
        <v>66062.875400000004</v>
      </c>
    </row>
    <row r="417" spans="1:2">
      <c r="A417" s="1">
        <v>0.20715436670000001</v>
      </c>
      <c r="B417" s="108">
        <v>66063.183999999994</v>
      </c>
    </row>
    <row r="418" spans="1:2">
      <c r="A418" s="1">
        <v>-0.64352364299999998</v>
      </c>
      <c r="B418" s="108">
        <v>66063.183999999994</v>
      </c>
    </row>
    <row r="419" spans="1:2">
      <c r="A419" s="1">
        <v>-1.0248518120000001</v>
      </c>
      <c r="B419" s="108">
        <v>66063.183999999994</v>
      </c>
    </row>
    <row r="420" spans="1:2">
      <c r="A420" s="1">
        <v>0.75340747450000001</v>
      </c>
      <c r="B420" s="108">
        <v>66063.183999999994</v>
      </c>
    </row>
    <row r="421" spans="1:2">
      <c r="A421" s="1">
        <v>-0.96834352509999999</v>
      </c>
      <c r="B421" s="108">
        <v>66064.2</v>
      </c>
    </row>
    <row r="422" spans="1:2">
      <c r="A422" s="1">
        <v>-0.62704457629999999</v>
      </c>
      <c r="B422" s="108">
        <v>66064.2</v>
      </c>
    </row>
    <row r="423" spans="1:2">
      <c r="A423" s="1">
        <v>-7.5123624910000003E-4</v>
      </c>
      <c r="B423" s="108">
        <v>66064.7</v>
      </c>
    </row>
    <row r="424" spans="1:2">
      <c r="A424" s="1">
        <v>-3.4762671639999998</v>
      </c>
      <c r="B424" s="108">
        <v>66065.384619999997</v>
      </c>
    </row>
    <row r="425" spans="1:2">
      <c r="A425" s="1">
        <v>-0.61664581119999995</v>
      </c>
      <c r="B425" s="108">
        <v>66065.833329999994</v>
      </c>
    </row>
    <row r="426" spans="1:2">
      <c r="A426" s="1">
        <v>-1.2571956209999999</v>
      </c>
      <c r="B426" s="108">
        <v>66065.879520000002</v>
      </c>
    </row>
    <row r="427" spans="1:2">
      <c r="A427" s="1">
        <v>0.63715757740000001</v>
      </c>
      <c r="B427" s="108">
        <v>66066.289999999994</v>
      </c>
    </row>
    <row r="428" spans="1:2">
      <c r="A428" s="1">
        <v>1.3833326269999999</v>
      </c>
      <c r="B428" s="108">
        <v>66066.289999999994</v>
      </c>
    </row>
    <row r="429" spans="1:2">
      <c r="A429" s="1">
        <v>-0.66050949660000002</v>
      </c>
      <c r="B429" s="108">
        <v>66066.289999999994</v>
      </c>
    </row>
    <row r="430" spans="1:2">
      <c r="A430" s="1">
        <v>-2.227889244</v>
      </c>
      <c r="B430" s="108">
        <v>66066.598389999999</v>
      </c>
    </row>
    <row r="431" spans="1:2">
      <c r="A431" s="1">
        <v>-0.62903260459999999</v>
      </c>
      <c r="B431" s="108">
        <v>66066.937179999994</v>
      </c>
    </row>
    <row r="432" spans="1:2">
      <c r="A432" s="1">
        <v>0.94380773159999998</v>
      </c>
      <c r="B432" s="108">
        <v>66067.100000000006</v>
      </c>
    </row>
    <row r="433" spans="1:2">
      <c r="A433" s="1">
        <v>-1.3440525050000001</v>
      </c>
      <c r="B433" s="108">
        <v>66067.100000000006</v>
      </c>
    </row>
    <row r="434" spans="1:2">
      <c r="A434" s="1">
        <v>-1.480522117</v>
      </c>
      <c r="B434" s="108">
        <v>66067.100000000006</v>
      </c>
    </row>
    <row r="435" spans="1:2">
      <c r="A435" s="1">
        <v>1.0259630120000001</v>
      </c>
      <c r="B435" s="108">
        <v>66067.274359999996</v>
      </c>
    </row>
    <row r="436" spans="1:2">
      <c r="A436" s="1">
        <v>0.29060705399999998</v>
      </c>
      <c r="B436" s="108">
        <v>66067.580889999997</v>
      </c>
    </row>
    <row r="437" spans="1:2">
      <c r="A437" s="1">
        <v>-0.47590816380000001</v>
      </c>
      <c r="B437" s="108">
        <v>66068</v>
      </c>
    </row>
    <row r="438" spans="1:2">
      <c r="A438" s="1">
        <v>0.55073932420000005</v>
      </c>
      <c r="B438" s="108">
        <v>66068.178830000004</v>
      </c>
    </row>
    <row r="439" spans="1:2">
      <c r="A439" s="1">
        <v>-0.76393347109999998</v>
      </c>
      <c r="B439" s="108">
        <v>66068.7</v>
      </c>
    </row>
    <row r="440" spans="1:2">
      <c r="A440" s="1">
        <v>-0.1432983145</v>
      </c>
      <c r="B440" s="108">
        <v>66070.3</v>
      </c>
    </row>
    <row r="441" spans="1:2">
      <c r="A441" s="1">
        <v>-0.337680694</v>
      </c>
      <c r="B441" s="108">
        <v>66070.8</v>
      </c>
    </row>
    <row r="442" spans="1:2">
      <c r="A442" s="1">
        <v>0.9641241451</v>
      </c>
      <c r="B442" s="108">
        <v>66071.737450000001</v>
      </c>
    </row>
    <row r="443" spans="1:2">
      <c r="A443" s="1">
        <v>-2.2495290720000002E-2</v>
      </c>
      <c r="B443" s="108">
        <v>66072.025559999995</v>
      </c>
    </row>
    <row r="444" spans="1:2">
      <c r="A444" s="1">
        <v>-0.66177797770000002</v>
      </c>
      <c r="B444" s="108">
        <v>66072.349400000006</v>
      </c>
    </row>
    <row r="445" spans="1:2">
      <c r="A445" s="1">
        <v>-0.21141531089999999</v>
      </c>
      <c r="B445" s="108">
        <v>66073.145439999993</v>
      </c>
    </row>
    <row r="446" spans="1:2">
      <c r="A446" s="1">
        <v>0.1003842018</v>
      </c>
      <c r="B446" s="108">
        <v>66073.583329999994</v>
      </c>
    </row>
    <row r="447" spans="1:2">
      <c r="A447" s="1">
        <v>-1.067694519</v>
      </c>
      <c r="B447" s="108">
        <v>66075</v>
      </c>
    </row>
    <row r="448" spans="1:2">
      <c r="A448" s="1">
        <v>-0.1432983145</v>
      </c>
      <c r="B448" s="108">
        <v>66075</v>
      </c>
    </row>
    <row r="449" spans="1:2">
      <c r="A449" s="1">
        <v>-0.88626785939999997</v>
      </c>
      <c r="B449" s="108">
        <v>66075.3</v>
      </c>
    </row>
    <row r="450" spans="1:2">
      <c r="A450" s="1">
        <v>0.70713253470000004</v>
      </c>
      <c r="B450" s="108">
        <v>66075.899999999994</v>
      </c>
    </row>
    <row r="451" spans="1:2">
      <c r="A451" s="1">
        <v>-0.25709974889999998</v>
      </c>
      <c r="B451" s="108">
        <v>66075.899999999994</v>
      </c>
    </row>
    <row r="452" spans="1:2">
      <c r="A452" s="1">
        <v>-0.15119383889999999</v>
      </c>
      <c r="B452" s="108">
        <v>66075.899999999994</v>
      </c>
    </row>
    <row r="453" spans="1:2">
      <c r="A453" s="1">
        <v>-6.6817273460000007E-2</v>
      </c>
      <c r="B453" s="108">
        <v>66076.677060000002</v>
      </c>
    </row>
    <row r="454" spans="1:2">
      <c r="A454" s="1">
        <v>-0.49394324810000001</v>
      </c>
      <c r="B454" s="108">
        <v>66076.677060000002</v>
      </c>
    </row>
    <row r="455" spans="1:2">
      <c r="A455" s="1">
        <v>-2.825577724</v>
      </c>
      <c r="B455" s="108">
        <v>66077.160999999993</v>
      </c>
    </row>
    <row r="456" spans="1:2">
      <c r="A456" s="1">
        <v>0.82181793430000005</v>
      </c>
      <c r="B456" s="108">
        <v>66077.160999999993</v>
      </c>
    </row>
    <row r="457" spans="1:2">
      <c r="A457" s="1">
        <v>-0.23580425839999999</v>
      </c>
      <c r="B457" s="108">
        <v>66077.160999999993</v>
      </c>
    </row>
    <row r="458" spans="1:2">
      <c r="A458" s="1">
        <v>-0.63330286710000006</v>
      </c>
      <c r="B458" s="108">
        <v>66077.160999999993</v>
      </c>
    </row>
    <row r="459" spans="1:2">
      <c r="A459" s="1">
        <v>0.82248982979999996</v>
      </c>
      <c r="B459" s="108">
        <v>66077.160999999993</v>
      </c>
    </row>
    <row r="460" spans="1:2">
      <c r="A460" s="1">
        <v>0.1014719439</v>
      </c>
      <c r="B460" s="108">
        <v>66078.2</v>
      </c>
    </row>
    <row r="461" spans="1:2">
      <c r="A461" s="1">
        <v>2.3592475889999999E-2</v>
      </c>
      <c r="B461" s="108">
        <v>66078.714000000007</v>
      </c>
    </row>
    <row r="462" spans="1:2">
      <c r="A462" s="1">
        <v>-0.76005181389999998</v>
      </c>
      <c r="B462" s="108">
        <v>66078.75</v>
      </c>
    </row>
    <row r="463" spans="1:2">
      <c r="A463" s="1">
        <v>-1.2585758199999999</v>
      </c>
      <c r="B463" s="108">
        <v>66079.538149999993</v>
      </c>
    </row>
    <row r="464" spans="1:2">
      <c r="A464" s="1">
        <v>-0.48430724749999998</v>
      </c>
      <c r="B464" s="108">
        <v>66079.974530000007</v>
      </c>
    </row>
    <row r="465" spans="1:2">
      <c r="A465" s="1">
        <v>-0.30927595369999999</v>
      </c>
      <c r="B465" s="108">
        <v>66080</v>
      </c>
    </row>
    <row r="466" spans="1:2">
      <c r="A466" s="1">
        <v>-0.2063944029</v>
      </c>
      <c r="B466" s="108">
        <v>66082</v>
      </c>
    </row>
    <row r="467" spans="1:2">
      <c r="A467" s="1">
        <v>-0.45809010750000001</v>
      </c>
      <c r="B467" s="108">
        <v>66082.746270000003</v>
      </c>
    </row>
    <row r="468" spans="1:2">
      <c r="A468" s="1">
        <v>-0.96022632090000004</v>
      </c>
      <c r="B468" s="108">
        <v>66083.5</v>
      </c>
    </row>
    <row r="469" spans="1:2">
      <c r="A469" s="1">
        <v>-1.194189663</v>
      </c>
      <c r="B469" s="108">
        <v>66085.3</v>
      </c>
    </row>
    <row r="470" spans="1:2">
      <c r="A470" s="1">
        <v>1.541839019</v>
      </c>
      <c r="B470" s="108">
        <v>66085.750799999994</v>
      </c>
    </row>
    <row r="471" spans="1:2">
      <c r="A471" s="1">
        <v>-0.28823098009999998</v>
      </c>
      <c r="B471" s="108">
        <v>66086.153850000002</v>
      </c>
    </row>
    <row r="472" spans="1:2">
      <c r="A472" s="1">
        <v>3.0115543030000001E-2</v>
      </c>
      <c r="B472" s="108">
        <v>66086.726909999998</v>
      </c>
    </row>
    <row r="473" spans="1:2">
      <c r="A473" s="1">
        <v>0.66605422969999994</v>
      </c>
      <c r="B473" s="108">
        <v>66088.032000000007</v>
      </c>
    </row>
    <row r="474" spans="1:2">
      <c r="A474" s="1">
        <v>-2.0701624450000001E-2</v>
      </c>
      <c r="B474" s="108">
        <v>66088.032000000007</v>
      </c>
    </row>
    <row r="475" spans="1:2">
      <c r="A475" s="1">
        <v>-0.39561869440000003</v>
      </c>
      <c r="B475" s="108">
        <v>66088.032000000007</v>
      </c>
    </row>
    <row r="476" spans="1:2">
      <c r="A476" s="1">
        <v>-2.340760393E-2</v>
      </c>
      <c r="B476" s="108">
        <v>66088.045270000002</v>
      </c>
    </row>
    <row r="477" spans="1:2">
      <c r="A477" s="1">
        <v>-0.53249380980000005</v>
      </c>
      <c r="B477" s="108">
        <v>66088.7</v>
      </c>
    </row>
    <row r="478" spans="1:2">
      <c r="A478" s="1">
        <v>-0.76005181389999998</v>
      </c>
      <c r="B478" s="108">
        <v>66091.666670000006</v>
      </c>
    </row>
    <row r="479" spans="1:2">
      <c r="A479" s="1">
        <v>-0.69482983139999999</v>
      </c>
      <c r="B479" s="108">
        <v>66092</v>
      </c>
    </row>
    <row r="480" spans="1:2">
      <c r="A480" s="1">
        <v>1.004045633</v>
      </c>
      <c r="B480" s="108">
        <v>66092.238809999995</v>
      </c>
    </row>
    <row r="481" spans="1:2">
      <c r="A481" s="1">
        <v>-4.72128219E-2</v>
      </c>
      <c r="B481" s="108">
        <v>66092.497040000002</v>
      </c>
    </row>
    <row r="482" spans="1:2">
      <c r="A482" s="1">
        <v>0.12590828000000001</v>
      </c>
      <c r="B482" s="108">
        <v>66092.497040000002</v>
      </c>
    </row>
    <row r="483" spans="1:2">
      <c r="A483" s="1">
        <v>0.4003313536</v>
      </c>
      <c r="B483" s="108">
        <v>66093.399999999994</v>
      </c>
    </row>
    <row r="484" spans="1:2">
      <c r="A484" s="1">
        <v>-0.2220367567</v>
      </c>
      <c r="B484" s="108">
        <v>66093.399999999994</v>
      </c>
    </row>
    <row r="485" spans="1:2">
      <c r="A485" s="1">
        <v>-6.6817273460000007E-2</v>
      </c>
      <c r="B485" s="108">
        <v>66094.218259999994</v>
      </c>
    </row>
    <row r="486" spans="1:2">
      <c r="A486" s="1">
        <v>0.67207205140000004</v>
      </c>
      <c r="B486" s="108">
        <v>66094.244000000006</v>
      </c>
    </row>
    <row r="487" spans="1:2">
      <c r="A487" s="1">
        <v>0.59850428089999996</v>
      </c>
      <c r="B487" s="108">
        <v>66094.244000000006</v>
      </c>
    </row>
    <row r="488" spans="1:2">
      <c r="A488" s="1">
        <v>-0.28732321989999998</v>
      </c>
      <c r="B488" s="108">
        <v>66094.244000000006</v>
      </c>
    </row>
    <row r="489" spans="1:2">
      <c r="A489" s="1">
        <v>2.942544377E-2</v>
      </c>
      <c r="B489" s="108">
        <v>66094.634539999999</v>
      </c>
    </row>
    <row r="490" spans="1:2">
      <c r="A490" s="1">
        <v>-0.56956036070000005</v>
      </c>
      <c r="B490" s="108">
        <v>66096.116009999998</v>
      </c>
    </row>
    <row r="491" spans="1:2">
      <c r="A491" s="1">
        <v>5.5781020690000002E-2</v>
      </c>
      <c r="B491" s="108">
        <v>66096.600000000006</v>
      </c>
    </row>
    <row r="492" spans="1:2">
      <c r="A492" s="1">
        <v>1.6719723559999999</v>
      </c>
      <c r="B492" s="108">
        <v>66097.368260000003</v>
      </c>
    </row>
    <row r="493" spans="1:2">
      <c r="A493" s="1">
        <v>-0.23997434049999999</v>
      </c>
      <c r="B493" s="108">
        <v>66097.692309999999</v>
      </c>
    </row>
    <row r="494" spans="1:2">
      <c r="A494" s="1">
        <v>-1.0072200010000001</v>
      </c>
      <c r="B494" s="108">
        <v>66098.3</v>
      </c>
    </row>
    <row r="495" spans="1:2">
      <c r="A495" s="1">
        <v>1.0489136130000001</v>
      </c>
      <c r="B495" s="108">
        <v>66098.3</v>
      </c>
    </row>
    <row r="496" spans="1:2">
      <c r="A496" s="1">
        <v>-0.27319369510000002</v>
      </c>
      <c r="B496" s="108">
        <v>66098.3</v>
      </c>
    </row>
    <row r="497" spans="1:2">
      <c r="A497" s="1">
        <v>-0.27319369510000002</v>
      </c>
      <c r="B497" s="108">
        <v>66098.3</v>
      </c>
    </row>
    <row r="498" spans="1:2">
      <c r="A498" s="1">
        <v>-0.30131083549999998</v>
      </c>
      <c r="B498" s="108">
        <v>66098.903000000006</v>
      </c>
    </row>
    <row r="499" spans="1:2">
      <c r="A499" s="1">
        <v>1.520673943</v>
      </c>
      <c r="B499" s="108">
        <v>66100</v>
      </c>
    </row>
    <row r="500" spans="1:2">
      <c r="A500" s="1">
        <v>0.66582960820000003</v>
      </c>
      <c r="B500" s="108">
        <v>66100</v>
      </c>
    </row>
    <row r="501" spans="1:2">
      <c r="A501" s="1">
        <v>2.8597324649999999E-2</v>
      </c>
      <c r="B501" s="108">
        <v>66100.385540000003</v>
      </c>
    </row>
    <row r="502" spans="1:2">
      <c r="A502" s="1">
        <v>8.1602802830000008E-3</v>
      </c>
      <c r="B502" s="108">
        <v>66101.100000000006</v>
      </c>
    </row>
    <row r="503" spans="1:2">
      <c r="A503" s="1">
        <v>0.19329105460000001</v>
      </c>
      <c r="B503" s="108">
        <v>66101.703450000001</v>
      </c>
    </row>
    <row r="504" spans="1:2">
      <c r="A504" s="1">
        <v>1.149640744</v>
      </c>
      <c r="B504" s="108">
        <v>66103.146059999999</v>
      </c>
    </row>
    <row r="505" spans="1:2">
      <c r="A505" s="1">
        <v>-5.8447738030000002E-2</v>
      </c>
      <c r="B505" s="108">
        <v>66103.562000000005</v>
      </c>
    </row>
    <row r="506" spans="1:2">
      <c r="A506" s="1">
        <v>1.020350578</v>
      </c>
      <c r="B506" s="108">
        <v>66103.562000000005</v>
      </c>
    </row>
    <row r="507" spans="1:2">
      <c r="A507" s="1">
        <v>0.27668770590000002</v>
      </c>
      <c r="B507" s="108">
        <v>66103.562000000005</v>
      </c>
    </row>
    <row r="508" spans="1:2">
      <c r="A508" s="1">
        <v>-0.1155754257</v>
      </c>
      <c r="B508" s="108">
        <v>66103.562000000005</v>
      </c>
    </row>
    <row r="509" spans="1:2">
      <c r="A509" s="1">
        <v>1.602819759</v>
      </c>
      <c r="B509" s="108">
        <v>66103.562000000005</v>
      </c>
    </row>
    <row r="510" spans="1:2">
      <c r="A510" s="1">
        <v>0.43280388689999999</v>
      </c>
      <c r="B510" s="108">
        <v>66104.539290000001</v>
      </c>
    </row>
    <row r="511" spans="1:2">
      <c r="A511" s="1">
        <v>-2.2313397410000002</v>
      </c>
      <c r="B511" s="108">
        <v>66105.417669999995</v>
      </c>
    </row>
    <row r="512" spans="1:2">
      <c r="A512" s="1">
        <v>-0.98615297759999998</v>
      </c>
      <c r="B512" s="108">
        <v>66105.428400000004</v>
      </c>
    </row>
    <row r="513" spans="1:2">
      <c r="A513" s="1">
        <v>-0.43354445759999999</v>
      </c>
      <c r="B513" s="108">
        <v>66105.7</v>
      </c>
    </row>
    <row r="514" spans="1:2">
      <c r="A514" s="1">
        <v>-1.903276688</v>
      </c>
      <c r="B514" s="108">
        <v>66105.821519999998</v>
      </c>
    </row>
    <row r="515" spans="1:2">
      <c r="A515" s="1">
        <v>0.72145698430000005</v>
      </c>
      <c r="B515" s="108">
        <v>66106.855420000007</v>
      </c>
    </row>
    <row r="516" spans="1:2">
      <c r="A516" s="1">
        <v>0.2050098293</v>
      </c>
      <c r="B516" s="108">
        <v>66107.164180000007</v>
      </c>
    </row>
    <row r="517" spans="1:2">
      <c r="A517" s="1">
        <v>0.55336249689999994</v>
      </c>
      <c r="B517" s="108">
        <v>66107.91171</v>
      </c>
    </row>
    <row r="518" spans="1:2">
      <c r="A518" s="1">
        <v>-0.4931701282</v>
      </c>
      <c r="B518" s="108">
        <v>66110.3</v>
      </c>
    </row>
    <row r="519" spans="1:2">
      <c r="A519" s="1">
        <v>-2.296606508E-2</v>
      </c>
      <c r="B519" s="108">
        <v>66110.480349999998</v>
      </c>
    </row>
    <row r="520" spans="1:2">
      <c r="A520" s="1">
        <v>1.688896314</v>
      </c>
      <c r="B520" s="108">
        <v>66111</v>
      </c>
    </row>
    <row r="521" spans="1:2">
      <c r="A521" s="1">
        <v>-0.4587119536</v>
      </c>
      <c r="B521" s="108">
        <v>66111</v>
      </c>
    </row>
    <row r="522" spans="1:2">
      <c r="A522" s="1">
        <v>0.83293319119999998</v>
      </c>
      <c r="B522" s="108">
        <v>66113.2</v>
      </c>
    </row>
    <row r="523" spans="1:2">
      <c r="A523" s="1">
        <v>1.3087278920000001</v>
      </c>
      <c r="B523" s="108">
        <v>66113.3</v>
      </c>
    </row>
    <row r="524" spans="1:2">
      <c r="A524" s="1">
        <v>-0.30863945520000002</v>
      </c>
      <c r="B524" s="108">
        <v>66114.433000000005</v>
      </c>
    </row>
    <row r="525" spans="1:2">
      <c r="A525" s="1">
        <v>0.232602164</v>
      </c>
      <c r="B525" s="108">
        <v>66114.433000000005</v>
      </c>
    </row>
    <row r="526" spans="1:2">
      <c r="A526" s="1">
        <v>-0.25658578030000001</v>
      </c>
      <c r="B526" s="108">
        <v>66114.433000000005</v>
      </c>
    </row>
    <row r="527" spans="1:2">
      <c r="A527" s="1">
        <v>-0.98460641270000004</v>
      </c>
      <c r="B527" s="108">
        <v>66114.763049999994</v>
      </c>
    </row>
    <row r="528" spans="1:2">
      <c r="A528" s="1">
        <v>-0.62127785049999995</v>
      </c>
      <c r="B528" s="108">
        <v>66114.899999999994</v>
      </c>
    </row>
    <row r="529" spans="1:2">
      <c r="A529" s="1">
        <v>0.76965128469999999</v>
      </c>
      <c r="B529" s="108">
        <v>66115.361619999996</v>
      </c>
    </row>
    <row r="530" spans="1:2">
      <c r="A530" s="1">
        <v>0.34747542149999999</v>
      </c>
      <c r="B530" s="108">
        <v>66116.123269999996</v>
      </c>
    </row>
    <row r="531" spans="1:2">
      <c r="A531" s="1">
        <v>-0.31490630689999999</v>
      </c>
      <c r="B531" s="108">
        <v>66119.399999999994</v>
      </c>
    </row>
    <row r="532" spans="1:2">
      <c r="A532" s="1">
        <v>-0.89059057340000003</v>
      </c>
      <c r="B532" s="108">
        <v>66121.600000000006</v>
      </c>
    </row>
    <row r="533" spans="1:2">
      <c r="A533" s="1">
        <v>1.968990209</v>
      </c>
      <c r="B533" s="108">
        <v>66121.600000000006</v>
      </c>
    </row>
    <row r="534" spans="1:2">
      <c r="A534" s="1">
        <v>1.968990209</v>
      </c>
      <c r="B534" s="108">
        <v>66121.600000000006</v>
      </c>
    </row>
    <row r="535" spans="1:2">
      <c r="A535" s="1">
        <v>-0.33563796820000003</v>
      </c>
      <c r="B535" s="108">
        <v>66121.600000000006</v>
      </c>
    </row>
    <row r="536" spans="1:2">
      <c r="A536" s="1">
        <v>-0.33563796820000003</v>
      </c>
      <c r="B536" s="108">
        <v>66121.600000000006</v>
      </c>
    </row>
    <row r="537" spans="1:2">
      <c r="A537" s="1">
        <v>-1.8032021579999999</v>
      </c>
      <c r="B537" s="108">
        <v>66122.670679999996</v>
      </c>
    </row>
    <row r="538" spans="1:2">
      <c r="A538" s="1">
        <v>0.17332865780000001</v>
      </c>
      <c r="B538" s="108">
        <v>66123.580790000007</v>
      </c>
    </row>
    <row r="539" spans="1:2">
      <c r="A539" s="1">
        <v>-0.1067458117</v>
      </c>
      <c r="B539" s="108">
        <v>66124</v>
      </c>
    </row>
    <row r="540" spans="1:2">
      <c r="A540" s="1">
        <v>0.75583864089999997</v>
      </c>
      <c r="B540" s="108">
        <v>66124.053190000006</v>
      </c>
    </row>
    <row r="541" spans="1:2">
      <c r="A541" s="1">
        <v>0.50277104490000002</v>
      </c>
      <c r="B541" s="108">
        <v>66125.304000000004</v>
      </c>
    </row>
    <row r="542" spans="1:2">
      <c r="A542" s="1">
        <v>0.18084877769999999</v>
      </c>
      <c r="B542" s="108">
        <v>66125.304000000004</v>
      </c>
    </row>
    <row r="543" spans="1:2">
      <c r="A543" s="1">
        <v>1.018861276</v>
      </c>
      <c r="B543" s="108">
        <v>66125.304000000004</v>
      </c>
    </row>
    <row r="544" spans="1:2">
      <c r="A544" s="1">
        <v>-0.70721015060000003</v>
      </c>
      <c r="B544" s="108">
        <v>66125.304000000004</v>
      </c>
    </row>
    <row r="545" spans="1:2">
      <c r="A545" s="1">
        <v>1.300534863</v>
      </c>
      <c r="B545" s="108">
        <v>66125.304000000004</v>
      </c>
    </row>
    <row r="546" spans="1:2">
      <c r="A546" s="1">
        <v>2.055334319</v>
      </c>
      <c r="B546" s="108">
        <v>66125.492540000007</v>
      </c>
    </row>
    <row r="547" spans="1:2">
      <c r="A547" s="1">
        <v>0.4387884433</v>
      </c>
      <c r="B547" s="108">
        <v>66126.111359999995</v>
      </c>
    </row>
    <row r="548" spans="1:2">
      <c r="A548" s="1">
        <v>-0.84316900510000004</v>
      </c>
      <c r="B548" s="108">
        <v>66128.600000000006</v>
      </c>
    </row>
    <row r="549" spans="1:2">
      <c r="A549" s="1">
        <v>1.458835077</v>
      </c>
      <c r="B549" s="108">
        <v>66129.309309999997</v>
      </c>
    </row>
    <row r="550" spans="1:2">
      <c r="A550" s="1">
        <v>2.5974947460000002E-2</v>
      </c>
      <c r="B550" s="108">
        <v>66129.85944</v>
      </c>
    </row>
    <row r="551" spans="1:2">
      <c r="A551" s="1">
        <v>0.79940790019999997</v>
      </c>
      <c r="B551" s="108">
        <v>66130.261450000005</v>
      </c>
    </row>
    <row r="552" spans="1:2">
      <c r="A552" s="1">
        <v>0.70986564809999997</v>
      </c>
      <c r="B552" s="108">
        <v>66132.314410000006</v>
      </c>
    </row>
    <row r="553" spans="1:2">
      <c r="A553" s="1">
        <v>0.78653205950000005</v>
      </c>
      <c r="B553" s="108">
        <v>66133.100000000006</v>
      </c>
    </row>
    <row r="554" spans="1:2">
      <c r="A554" s="1">
        <v>0.79056419420000001</v>
      </c>
      <c r="B554" s="108">
        <v>66134.622000000003</v>
      </c>
    </row>
    <row r="555" spans="1:2">
      <c r="A555" s="1">
        <v>1.4231804819999999E-2</v>
      </c>
      <c r="B555" s="108">
        <v>66134.622000000003</v>
      </c>
    </row>
    <row r="556" spans="1:2">
      <c r="A556" s="1">
        <v>0.74468139960000002</v>
      </c>
      <c r="B556" s="108">
        <v>66134.622000000003</v>
      </c>
    </row>
    <row r="557" spans="1:2">
      <c r="A557" s="1">
        <v>-0.61753411629999999</v>
      </c>
      <c r="B557" s="108">
        <v>66134.622000000003</v>
      </c>
    </row>
    <row r="558" spans="1:2">
      <c r="A558" s="1">
        <v>1.4205552619999999</v>
      </c>
      <c r="B558" s="108">
        <v>66134.622000000003</v>
      </c>
    </row>
    <row r="559" spans="1:2">
      <c r="A559" s="1">
        <v>-0.98667671050000005</v>
      </c>
      <c r="B559" s="108">
        <v>66137.048190000001</v>
      </c>
    </row>
    <row r="560" spans="1:2">
      <c r="A560" s="1">
        <v>0.26155459139999998</v>
      </c>
      <c r="B560" s="108">
        <v>66137.7</v>
      </c>
    </row>
    <row r="561" spans="1:2">
      <c r="A561" s="1">
        <v>0.33957392060000002</v>
      </c>
      <c r="B561" s="108">
        <v>66138.332190000001</v>
      </c>
    </row>
    <row r="562" spans="1:2">
      <c r="A562" s="1">
        <v>0.73222253280000005</v>
      </c>
      <c r="B562" s="108">
        <v>66139.923689999996</v>
      </c>
    </row>
    <row r="563" spans="1:2">
      <c r="A563" s="1">
        <v>0.80010468040000005</v>
      </c>
      <c r="B563" s="108">
        <v>66140.815499999997</v>
      </c>
    </row>
    <row r="564" spans="1:2">
      <c r="A564" s="1">
        <v>0.54367768299999997</v>
      </c>
      <c r="B564" s="108">
        <v>66142.3</v>
      </c>
    </row>
    <row r="565" spans="1:2">
      <c r="A565" s="1">
        <v>0.77923733949999996</v>
      </c>
      <c r="B565" s="108">
        <v>66143.231440000003</v>
      </c>
    </row>
    <row r="566" spans="1:2">
      <c r="A566" s="1">
        <v>-0.91218861549999997</v>
      </c>
      <c r="B566" s="108">
        <v>66144.899999999994</v>
      </c>
    </row>
    <row r="567" spans="1:2">
      <c r="A567" s="1">
        <v>1.567266625</v>
      </c>
      <c r="B567" s="108">
        <v>66144.899999999994</v>
      </c>
    </row>
    <row r="568" spans="1:2">
      <c r="A568" s="1">
        <v>1.567266625</v>
      </c>
      <c r="B568" s="108">
        <v>66144.899999999994</v>
      </c>
    </row>
    <row r="569" spans="1:2">
      <c r="A569" s="1">
        <v>-0.27932345990000002</v>
      </c>
      <c r="B569" s="108">
        <v>66145</v>
      </c>
    </row>
    <row r="570" spans="1:2">
      <c r="A570" s="1">
        <v>0.21772536849999999</v>
      </c>
      <c r="B570" s="108">
        <v>66146.899999999994</v>
      </c>
    </row>
    <row r="571" spans="1:2">
      <c r="A571" s="1">
        <v>0.92440945269999997</v>
      </c>
      <c r="B571" s="108">
        <v>66147.046000000002</v>
      </c>
    </row>
    <row r="572" spans="1:2">
      <c r="A572" s="1">
        <v>0.39406644819999997</v>
      </c>
      <c r="B572" s="108">
        <v>66147.046000000002</v>
      </c>
    </row>
    <row r="573" spans="1:2">
      <c r="A573" s="1">
        <v>1.0745554799999999</v>
      </c>
      <c r="B573" s="108">
        <v>66147.046000000002</v>
      </c>
    </row>
    <row r="574" spans="1:2">
      <c r="A574" s="1">
        <v>-0.86503492540000004</v>
      </c>
      <c r="B574" s="108">
        <v>66147.046000000002</v>
      </c>
    </row>
    <row r="575" spans="1:2">
      <c r="A575" s="1">
        <v>1.5080483549999999</v>
      </c>
      <c r="B575" s="108">
        <v>66147.046000000002</v>
      </c>
    </row>
    <row r="576" spans="1:2">
      <c r="A576" s="1">
        <v>-1.2508467080000001</v>
      </c>
      <c r="B576" s="108">
        <v>66147.112450000001</v>
      </c>
    </row>
    <row r="577" spans="1:2">
      <c r="A577" s="1">
        <v>1.1889900360000001</v>
      </c>
      <c r="B577" s="108">
        <v>66147.644589999996</v>
      </c>
    </row>
    <row r="578" spans="1:2">
      <c r="A578" s="1">
        <v>1.688896314</v>
      </c>
      <c r="B578" s="108">
        <v>66148.399999999994</v>
      </c>
    </row>
    <row r="579" spans="1:2">
      <c r="A579" s="1">
        <v>0.63700655039999998</v>
      </c>
      <c r="B579" s="108">
        <v>66148.399999999994</v>
      </c>
    </row>
    <row r="580" spans="1:2">
      <c r="A580" s="1">
        <v>1.21837901</v>
      </c>
      <c r="B580" s="108">
        <v>66149.233850000004</v>
      </c>
    </row>
    <row r="581" spans="1:2">
      <c r="A581" s="1">
        <v>1.7355322520000001</v>
      </c>
      <c r="B581" s="108">
        <v>66150.875190000006</v>
      </c>
    </row>
    <row r="582" spans="1:2">
      <c r="A582" s="1">
        <v>-1.0453211469999999</v>
      </c>
      <c r="B582" s="108">
        <v>66151.399999999994</v>
      </c>
    </row>
    <row r="583" spans="1:2">
      <c r="A583" s="1">
        <v>-1.6879307210000001</v>
      </c>
      <c r="B583" s="108">
        <v>66154.376999999993</v>
      </c>
    </row>
    <row r="584" spans="1:2">
      <c r="A584" s="1">
        <v>-0.56049846219999999</v>
      </c>
      <c r="B584" s="108">
        <v>66154.376999999993</v>
      </c>
    </row>
    <row r="585" spans="1:2">
      <c r="A585" s="1">
        <v>-0.63028986970000001</v>
      </c>
      <c r="B585" s="108">
        <v>66154.696429999996</v>
      </c>
    </row>
    <row r="586" spans="1:2">
      <c r="A586" s="1">
        <v>0.74082184559999997</v>
      </c>
      <c r="B586" s="108">
        <v>66154.811000000002</v>
      </c>
    </row>
    <row r="587" spans="1:2">
      <c r="A587" s="1">
        <v>0.43051750189999999</v>
      </c>
      <c r="B587" s="108">
        <v>66154.811000000002</v>
      </c>
    </row>
    <row r="588" spans="1:2">
      <c r="A588" s="1">
        <v>1.004571882</v>
      </c>
      <c r="B588" s="108">
        <v>66154.811000000002</v>
      </c>
    </row>
    <row r="589" spans="1:2">
      <c r="A589" s="1">
        <v>-0.37002222000000001</v>
      </c>
      <c r="B589" s="108">
        <v>66154.811000000002</v>
      </c>
    </row>
    <row r="590" spans="1:2">
      <c r="A590" s="1">
        <v>1.437583815</v>
      </c>
      <c r="B590" s="108">
        <v>66154.811000000002</v>
      </c>
    </row>
    <row r="591" spans="1:2">
      <c r="A591" s="1">
        <v>2.6856175059999998</v>
      </c>
      <c r="B591" s="108">
        <v>66155.020080000002</v>
      </c>
    </row>
    <row r="592" spans="1:2">
      <c r="A592" s="1">
        <v>0.4286489067</v>
      </c>
      <c r="B592" s="108">
        <v>66156</v>
      </c>
    </row>
    <row r="593" spans="1:2">
      <c r="A593" s="1">
        <v>0.7579699687</v>
      </c>
      <c r="B593" s="108">
        <v>66156.336150000003</v>
      </c>
    </row>
    <row r="594" spans="1:2">
      <c r="A594" s="1">
        <v>2.5254967549999998</v>
      </c>
      <c r="B594" s="108">
        <v>66157.119460000002</v>
      </c>
    </row>
    <row r="595" spans="1:2">
      <c r="A595" s="1">
        <v>0.11231847759999999</v>
      </c>
      <c r="B595" s="108">
        <v>66160</v>
      </c>
    </row>
    <row r="596" spans="1:2">
      <c r="A596" s="1">
        <v>-0.34789941699999999</v>
      </c>
      <c r="B596" s="108">
        <v>66160.600000000006</v>
      </c>
    </row>
    <row r="597" spans="1:2">
      <c r="A597" s="1">
        <v>-0.85017507640000001</v>
      </c>
      <c r="B597" s="108">
        <v>66161.489960000006</v>
      </c>
    </row>
    <row r="598" spans="1:2">
      <c r="A598" s="1">
        <v>0.91658994380000003</v>
      </c>
      <c r="B598" s="108">
        <v>66161.923590000006</v>
      </c>
    </row>
    <row r="599" spans="1:2">
      <c r="A599" s="1">
        <v>1.101591196</v>
      </c>
      <c r="B599" s="108">
        <v>66162</v>
      </c>
    </row>
    <row r="600" spans="1:2">
      <c r="A600" s="1">
        <v>-0.10808203230000001</v>
      </c>
      <c r="B600" s="108">
        <v>66162</v>
      </c>
    </row>
    <row r="601" spans="1:2">
      <c r="A601" s="1">
        <v>1.929077645</v>
      </c>
      <c r="B601" s="108">
        <v>66165</v>
      </c>
    </row>
    <row r="602" spans="1:2">
      <c r="A602" s="1">
        <v>0.95125661350000001</v>
      </c>
      <c r="B602" s="108">
        <v>66165.100000000006</v>
      </c>
    </row>
    <row r="603" spans="1:2">
      <c r="A603" s="1">
        <v>-1.212788827</v>
      </c>
      <c r="B603" s="108">
        <v>66165.682000000001</v>
      </c>
    </row>
    <row r="604" spans="1:2">
      <c r="A604" s="1">
        <v>-0.31563821739999998</v>
      </c>
      <c r="B604" s="108">
        <v>66165.682000000001</v>
      </c>
    </row>
    <row r="605" spans="1:2">
      <c r="A605" s="1">
        <v>0.18921378899999999</v>
      </c>
      <c r="B605" s="108">
        <v>66165.682000000001</v>
      </c>
    </row>
    <row r="606" spans="1:2">
      <c r="A606" s="1">
        <v>-0.53506802379999996</v>
      </c>
      <c r="B606" s="108">
        <v>66165.682000000001</v>
      </c>
    </row>
    <row r="607" spans="1:2">
      <c r="A607" s="1">
        <v>1.7061905420000001</v>
      </c>
      <c r="B607" s="108">
        <v>66166.588589999999</v>
      </c>
    </row>
    <row r="608" spans="1:2">
      <c r="A608" s="1">
        <v>0.64626840750000003</v>
      </c>
      <c r="B608" s="108">
        <v>66166.865669999999</v>
      </c>
    </row>
    <row r="609" spans="1:2">
      <c r="A609" s="1">
        <v>-0.42107135490000003</v>
      </c>
      <c r="B609" s="108">
        <v>66167.240959999996</v>
      </c>
    </row>
    <row r="610" spans="1:2">
      <c r="A610" s="1">
        <v>-0.7912395794</v>
      </c>
      <c r="B610" s="108">
        <v>66168.2</v>
      </c>
    </row>
    <row r="611" spans="1:2">
      <c r="A611" s="1">
        <v>1.290811685</v>
      </c>
      <c r="B611" s="108">
        <v>66168.2</v>
      </c>
    </row>
    <row r="612" spans="1:2">
      <c r="A612" s="1">
        <v>1.290811685</v>
      </c>
      <c r="B612" s="108">
        <v>66168.2</v>
      </c>
    </row>
    <row r="613" spans="1:2">
      <c r="A613" s="1">
        <v>0.93406225259999998</v>
      </c>
      <c r="B613" s="108">
        <v>66168.2</v>
      </c>
    </row>
    <row r="614" spans="1:2">
      <c r="A614" s="1">
        <v>0.93406225259999998</v>
      </c>
      <c r="B614" s="108">
        <v>66168.2</v>
      </c>
    </row>
    <row r="615" spans="1:2">
      <c r="A615" s="1">
        <v>1.2335429849999999</v>
      </c>
      <c r="B615" s="108">
        <v>66168.752680000005</v>
      </c>
    </row>
    <row r="616" spans="1:2">
      <c r="A616" s="1">
        <v>0.30602041730000001</v>
      </c>
      <c r="B616" s="108">
        <v>66169</v>
      </c>
    </row>
    <row r="617" spans="1:2">
      <c r="A617" s="1">
        <v>0.63076117750000005</v>
      </c>
      <c r="B617" s="108">
        <v>66169.7</v>
      </c>
    </row>
    <row r="618" spans="1:2">
      <c r="A618" s="1">
        <v>2.7868801419999998</v>
      </c>
      <c r="B618" s="108">
        <v>66172.677320000003</v>
      </c>
    </row>
    <row r="619" spans="1:2">
      <c r="A619" s="1">
        <v>-1.7951374449999999</v>
      </c>
      <c r="B619" s="108">
        <v>66172.677320000003</v>
      </c>
    </row>
    <row r="620" spans="1:2">
      <c r="A620" s="1">
        <v>0.1606823235</v>
      </c>
      <c r="B620" s="108">
        <v>66174.42972</v>
      </c>
    </row>
    <row r="621" spans="1:2">
      <c r="A621" s="1">
        <v>1.39699621</v>
      </c>
      <c r="B621" s="108">
        <v>66175.075079999995</v>
      </c>
    </row>
    <row r="622" spans="1:2">
      <c r="A622" s="1">
        <v>0.45712484790000002</v>
      </c>
      <c r="B622" s="108">
        <v>66175.581770000004</v>
      </c>
    </row>
    <row r="623" spans="1:2">
      <c r="A623" s="1">
        <v>-0.22372544520000001</v>
      </c>
      <c r="B623" s="108">
        <v>66175.982529999994</v>
      </c>
    </row>
    <row r="624" spans="1:2">
      <c r="A624" s="1">
        <v>-0.54883787289999997</v>
      </c>
      <c r="B624" s="108">
        <v>66176.553</v>
      </c>
    </row>
    <row r="625" spans="1:2">
      <c r="A625" s="1">
        <v>-0.35484437660000001</v>
      </c>
      <c r="B625" s="108">
        <v>66176.553</v>
      </c>
    </row>
    <row r="626" spans="1:2">
      <c r="A626" s="1">
        <v>7.0058928670000001E-3</v>
      </c>
      <c r="B626" s="108">
        <v>66176.553</v>
      </c>
    </row>
    <row r="627" spans="1:2">
      <c r="A627" s="1">
        <v>-0.23917226120000001</v>
      </c>
      <c r="B627" s="108">
        <v>66176.553</v>
      </c>
    </row>
    <row r="628" spans="1:2">
      <c r="A628" s="1">
        <v>1.217254863</v>
      </c>
      <c r="B628" s="108">
        <v>66176.553</v>
      </c>
    </row>
    <row r="629" spans="1:2">
      <c r="A629" s="1">
        <v>-1.5308889889999999</v>
      </c>
      <c r="B629" s="108">
        <v>66176.586349999998</v>
      </c>
    </row>
    <row r="630" spans="1:2">
      <c r="A630" s="1">
        <v>0.62984437640000002</v>
      </c>
      <c r="B630" s="108">
        <v>66176.823420000001</v>
      </c>
    </row>
    <row r="631" spans="1:2">
      <c r="A631" s="1">
        <v>1.3417359470000001</v>
      </c>
      <c r="B631" s="108">
        <v>66177.352849999996</v>
      </c>
    </row>
    <row r="632" spans="1:2">
      <c r="A632" s="1">
        <v>0.79607062019999997</v>
      </c>
      <c r="B632" s="108">
        <v>66178.899999999994</v>
      </c>
    </row>
    <row r="633" spans="1:2">
      <c r="A633" s="1">
        <v>0.39559211249999998</v>
      </c>
      <c r="B633" s="108">
        <v>66181.618470000001</v>
      </c>
    </row>
    <row r="634" spans="1:2">
      <c r="A634" s="1">
        <v>0.74965132710000004</v>
      </c>
      <c r="B634" s="108">
        <v>66183.399999999994</v>
      </c>
    </row>
    <row r="635" spans="1:2">
      <c r="A635" s="1">
        <v>0.6302952342</v>
      </c>
      <c r="B635" s="108">
        <v>66183.65251</v>
      </c>
    </row>
    <row r="636" spans="1:2">
      <c r="A636" s="1">
        <v>-0.24894756470000001</v>
      </c>
      <c r="B636" s="108">
        <v>66184</v>
      </c>
    </row>
    <row r="637" spans="1:2">
      <c r="A637" s="1">
        <v>0.83863583909999995</v>
      </c>
      <c r="B637" s="108">
        <v>66186.650599999994</v>
      </c>
    </row>
    <row r="638" spans="1:2">
      <c r="A638" s="1">
        <v>1.5656612430000001</v>
      </c>
      <c r="B638" s="108">
        <v>66187.377460000003</v>
      </c>
    </row>
    <row r="639" spans="1:2">
      <c r="A639" s="1">
        <v>0.33079985960000002</v>
      </c>
      <c r="B639" s="108">
        <v>66188</v>
      </c>
    </row>
    <row r="640" spans="1:2">
      <c r="A640" s="1">
        <v>0.79456693820000002</v>
      </c>
      <c r="B640" s="108">
        <v>66188.976999999999</v>
      </c>
    </row>
    <row r="641" spans="1:2">
      <c r="A641" s="1">
        <v>0.48307007660000001</v>
      </c>
      <c r="B641" s="108">
        <v>66188.976999999999</v>
      </c>
    </row>
    <row r="642" spans="1:2">
      <c r="A642" s="1">
        <v>0.15944015959999999</v>
      </c>
      <c r="B642" s="108">
        <v>66188.976999999999</v>
      </c>
    </row>
    <row r="643" spans="1:2">
      <c r="A643" s="1">
        <v>-0.76537290300000005</v>
      </c>
      <c r="B643" s="108">
        <v>66188.976999999999</v>
      </c>
    </row>
    <row r="644" spans="1:2">
      <c r="A644" s="1">
        <v>1.415324303</v>
      </c>
      <c r="B644" s="108">
        <v>66188.976999999999</v>
      </c>
    </row>
    <row r="645" spans="1:2">
      <c r="A645" s="1">
        <v>2.7057230859999999</v>
      </c>
      <c r="B645" s="108">
        <v>66189.100000000006</v>
      </c>
    </row>
    <row r="646" spans="1:2">
      <c r="A646" s="1">
        <v>1.463844014E-2</v>
      </c>
      <c r="B646" s="108">
        <v>66189.100000000006</v>
      </c>
    </row>
    <row r="647" spans="1:2">
      <c r="A647" s="1">
        <v>1.140325284</v>
      </c>
      <c r="B647" s="108">
        <v>66189.897549999994</v>
      </c>
    </row>
    <row r="648" spans="1:2">
      <c r="A648" s="1">
        <v>0.98428094340000005</v>
      </c>
      <c r="B648" s="108">
        <v>66189.897549999994</v>
      </c>
    </row>
    <row r="649" spans="1:2">
      <c r="A649" s="1">
        <v>0.62059006400000005</v>
      </c>
      <c r="B649" s="108">
        <v>66190.899999999994</v>
      </c>
    </row>
    <row r="650" spans="1:2">
      <c r="A650" s="1">
        <v>-0.89059057340000003</v>
      </c>
      <c r="B650" s="108">
        <v>66191.600000000006</v>
      </c>
    </row>
    <row r="651" spans="1:2">
      <c r="A651" s="1">
        <v>1.329688161</v>
      </c>
      <c r="B651" s="108">
        <v>66191.600000000006</v>
      </c>
    </row>
    <row r="652" spans="1:2">
      <c r="A652" s="1">
        <v>1.329688161</v>
      </c>
      <c r="B652" s="108">
        <v>66191.600000000006</v>
      </c>
    </row>
    <row r="653" spans="1:2">
      <c r="A653" s="1">
        <v>0.68428515999999995</v>
      </c>
      <c r="B653" s="108">
        <v>66191.600000000006</v>
      </c>
    </row>
    <row r="654" spans="1:2">
      <c r="A654" s="1">
        <v>0.68428515999999995</v>
      </c>
      <c r="B654" s="108">
        <v>66191.600000000006</v>
      </c>
    </row>
    <row r="655" spans="1:2">
      <c r="A655" s="1">
        <v>0.1073734642</v>
      </c>
      <c r="B655" s="108">
        <v>66192.082999999999</v>
      </c>
    </row>
    <row r="656" spans="1:2">
      <c r="A656" s="1">
        <v>0.61962252630000003</v>
      </c>
      <c r="B656" s="108">
        <v>66192.082999999999</v>
      </c>
    </row>
    <row r="657" spans="1:2">
      <c r="A657" s="1">
        <v>-0.61323709820000005</v>
      </c>
      <c r="B657" s="108">
        <v>66192.082999999999</v>
      </c>
    </row>
    <row r="658" spans="1:2">
      <c r="A658" s="1">
        <v>0.69951182779999999</v>
      </c>
      <c r="B658" s="108">
        <v>66193.839359999998</v>
      </c>
    </row>
    <row r="659" spans="1:2">
      <c r="A659" s="1">
        <v>2.006388512</v>
      </c>
      <c r="B659" s="108">
        <v>66193.899999999994</v>
      </c>
    </row>
    <row r="660" spans="1:2">
      <c r="A660" s="1">
        <v>1.264078354</v>
      </c>
      <c r="B660" s="108">
        <v>66195.448210000002</v>
      </c>
    </row>
    <row r="661" spans="1:2">
      <c r="A661" s="1">
        <v>0.64626840750000003</v>
      </c>
      <c r="B661" s="108">
        <v>66196.716419999997</v>
      </c>
    </row>
    <row r="662" spans="1:2">
      <c r="A662" s="1">
        <v>0.41594016080000001</v>
      </c>
      <c r="B662" s="108">
        <v>66196.800000000003</v>
      </c>
    </row>
    <row r="663" spans="1:2">
      <c r="A663" s="1">
        <v>0.94362339630000003</v>
      </c>
      <c r="B663" s="108">
        <v>66199.8</v>
      </c>
    </row>
    <row r="664" spans="1:2">
      <c r="A664" s="1">
        <v>9.5282840729999999E-2</v>
      </c>
      <c r="B664" s="108">
        <v>66200.371039999998</v>
      </c>
    </row>
    <row r="665" spans="1:2">
      <c r="A665" s="1">
        <v>0.83753168030000003</v>
      </c>
      <c r="B665" s="108">
        <v>66201.028109999999</v>
      </c>
    </row>
    <row r="666" spans="1:2">
      <c r="A666" s="1">
        <v>1.3651934649999999</v>
      </c>
      <c r="B666" s="108">
        <v>66201.656470000002</v>
      </c>
    </row>
    <row r="667" spans="1:2">
      <c r="A667" s="1">
        <v>1.1264155789999999</v>
      </c>
      <c r="B667" s="108">
        <v>66202</v>
      </c>
    </row>
    <row r="668" spans="1:2">
      <c r="A668" s="1">
        <v>0.84885392599999998</v>
      </c>
      <c r="B668" s="108">
        <v>66202.7</v>
      </c>
    </row>
    <row r="669" spans="1:2">
      <c r="A669" s="1">
        <v>0.72485373470000003</v>
      </c>
      <c r="B669" s="108">
        <v>66205.600000000006</v>
      </c>
    </row>
    <row r="670" spans="1:2">
      <c r="A670" s="1">
        <v>0.98935351810000005</v>
      </c>
      <c r="B670" s="108">
        <v>66208.216870000004</v>
      </c>
    </row>
    <row r="671" spans="1:2">
      <c r="A671" s="1">
        <v>0.81006083640000004</v>
      </c>
      <c r="B671" s="108">
        <v>66208.600000000006</v>
      </c>
    </row>
    <row r="672" spans="1:2">
      <c r="A672" s="1">
        <v>1.423272149</v>
      </c>
      <c r="B672" s="108">
        <v>66209.727209999997</v>
      </c>
    </row>
    <row r="673" spans="1:2">
      <c r="A673" s="1">
        <v>0.3917944297</v>
      </c>
      <c r="B673" s="108">
        <v>66211.5</v>
      </c>
    </row>
    <row r="674" spans="1:2">
      <c r="A674" s="1">
        <v>0.40663370069999999</v>
      </c>
      <c r="B674" s="108">
        <v>66211.811239999995</v>
      </c>
    </row>
    <row r="675" spans="1:2">
      <c r="A675" s="1">
        <v>-2.203455903</v>
      </c>
      <c r="B675" s="108">
        <v>66212.732139999993</v>
      </c>
    </row>
    <row r="676" spans="1:2">
      <c r="A676" s="1">
        <v>1.125959978</v>
      </c>
      <c r="B676" s="108">
        <v>66213.824999999997</v>
      </c>
    </row>
    <row r="677" spans="1:2">
      <c r="A677" s="1">
        <v>0.44172023240000002</v>
      </c>
      <c r="B677" s="108">
        <v>66213.824999999997</v>
      </c>
    </row>
    <row r="678" spans="1:2">
      <c r="A678" s="1">
        <v>-0.66517989600000005</v>
      </c>
      <c r="B678" s="108">
        <v>66213.824999999997</v>
      </c>
    </row>
    <row r="679" spans="1:2">
      <c r="A679" s="1">
        <v>1.9721836930000001</v>
      </c>
      <c r="B679" s="108">
        <v>66213.824999999997</v>
      </c>
    </row>
    <row r="680" spans="1:2">
      <c r="A680" s="1">
        <v>1.48110491</v>
      </c>
      <c r="B680" s="108">
        <v>66214.072990000001</v>
      </c>
    </row>
    <row r="681" spans="1:2">
      <c r="A681" s="1">
        <v>0.40635766099999998</v>
      </c>
      <c r="B681" s="108">
        <v>66214.686749999993</v>
      </c>
    </row>
    <row r="682" spans="1:2">
      <c r="A682" s="1">
        <v>-0.67461015170000005</v>
      </c>
      <c r="B682" s="108">
        <v>66214.899999999994</v>
      </c>
    </row>
    <row r="683" spans="1:2">
      <c r="A683" s="1">
        <v>1.2692136430000001</v>
      </c>
      <c r="B683" s="108">
        <v>66214.899999999994</v>
      </c>
    </row>
    <row r="684" spans="1:2">
      <c r="A684" s="1">
        <v>1.2692136430000001</v>
      </c>
      <c r="B684" s="108">
        <v>66214.899999999994</v>
      </c>
    </row>
    <row r="685" spans="1:2">
      <c r="A685" s="1">
        <v>1.579319742</v>
      </c>
      <c r="B685" s="108">
        <v>66214.899999999994</v>
      </c>
    </row>
    <row r="686" spans="1:2">
      <c r="A686" s="1">
        <v>1.579319742</v>
      </c>
      <c r="B686" s="108">
        <v>66214.899999999994</v>
      </c>
    </row>
    <row r="687" spans="1:2">
      <c r="A687" s="1">
        <v>1.1215253119999999</v>
      </c>
      <c r="B687" s="108">
        <v>66215.314639999997</v>
      </c>
    </row>
    <row r="688" spans="1:2">
      <c r="A688" s="1">
        <v>8.0545593100000007E-2</v>
      </c>
      <c r="B688" s="108">
        <v>66217.399999999994</v>
      </c>
    </row>
    <row r="689" spans="1:2">
      <c r="A689" s="1">
        <v>0.2793722072</v>
      </c>
      <c r="B689" s="108">
        <v>66219.650659999999</v>
      </c>
    </row>
    <row r="690" spans="1:2">
      <c r="A690" s="1">
        <v>0.23093315510000001</v>
      </c>
      <c r="B690" s="108">
        <v>66220</v>
      </c>
    </row>
    <row r="691" spans="1:2">
      <c r="A691" s="1">
        <v>1.0256673110000001</v>
      </c>
      <c r="B691" s="108">
        <v>66220</v>
      </c>
    </row>
    <row r="692" spans="1:2">
      <c r="A692" s="1">
        <v>1.891707142</v>
      </c>
      <c r="B692" s="108">
        <v>66220.840840000004</v>
      </c>
    </row>
    <row r="693" spans="1:2">
      <c r="A693" s="1">
        <v>1.7680294089999999</v>
      </c>
      <c r="B693" s="108">
        <v>66220.840840000004</v>
      </c>
    </row>
    <row r="694" spans="1:2">
      <c r="A694" s="1">
        <v>1.520673943</v>
      </c>
      <c r="B694" s="108">
        <v>66220.840840000004</v>
      </c>
    </row>
    <row r="695" spans="1:2">
      <c r="A695" s="1">
        <v>1.1127432660000001</v>
      </c>
      <c r="B695" s="108">
        <v>66221.875499999995</v>
      </c>
    </row>
    <row r="696" spans="1:2">
      <c r="A696" s="1">
        <v>-0.50902682330000004</v>
      </c>
      <c r="B696" s="108">
        <v>66223.3</v>
      </c>
    </row>
    <row r="697" spans="1:2">
      <c r="A697" s="1">
        <v>1.5104926409999999</v>
      </c>
      <c r="B697" s="108">
        <v>66223.385380000007</v>
      </c>
    </row>
    <row r="698" spans="1:2">
      <c r="A698" s="1">
        <v>2.2489226919999998</v>
      </c>
      <c r="B698" s="108">
        <v>66229.064259999999</v>
      </c>
    </row>
    <row r="699" spans="1:2">
      <c r="A699" s="1">
        <v>0.21899572680000001</v>
      </c>
      <c r="B699" s="108">
        <v>66229.2</v>
      </c>
    </row>
    <row r="700" spans="1:2">
      <c r="A700" s="1">
        <v>1.3094920320000001</v>
      </c>
      <c r="B700" s="108">
        <v>66229.593649999995</v>
      </c>
    </row>
    <row r="701" spans="1:2">
      <c r="A701" s="1">
        <v>0.52161720099999997</v>
      </c>
      <c r="B701" s="108">
        <v>66234.013999999996</v>
      </c>
    </row>
    <row r="702" spans="1:2">
      <c r="A702" s="1">
        <v>0.67374223060000005</v>
      </c>
      <c r="B702" s="108">
        <v>66234.013999999996</v>
      </c>
    </row>
    <row r="703" spans="1:2">
      <c r="A703" s="1">
        <v>1.8735225179999999</v>
      </c>
      <c r="B703" s="108">
        <v>66234.013999999996</v>
      </c>
    </row>
    <row r="704" spans="1:2">
      <c r="A704" s="1">
        <v>0.31851730700000003</v>
      </c>
      <c r="B704" s="108">
        <v>66234.013999999996</v>
      </c>
    </row>
    <row r="705" spans="1:2">
      <c r="A705" s="1">
        <v>1.2641510439999999</v>
      </c>
      <c r="B705" s="108">
        <v>66234.096390000006</v>
      </c>
    </row>
    <row r="706" spans="1:2">
      <c r="A706" s="1">
        <v>-8.2624065359999999E-2</v>
      </c>
      <c r="B706" s="108">
        <v>66235.100000000006</v>
      </c>
    </row>
    <row r="707" spans="1:2">
      <c r="A707" s="1">
        <v>1.5975901729999999</v>
      </c>
      <c r="B707" s="108">
        <v>66235.181079999995</v>
      </c>
    </row>
    <row r="708" spans="1:2">
      <c r="A708" s="1">
        <v>-3.0107605079999999E-2</v>
      </c>
      <c r="B708" s="108">
        <v>66237.304980000001</v>
      </c>
    </row>
    <row r="709" spans="1:2">
      <c r="A709" s="1">
        <v>-0.28912437590000001</v>
      </c>
      <c r="B709" s="108">
        <v>66239.128509999995</v>
      </c>
    </row>
    <row r="710" spans="1:2">
      <c r="A710" s="1">
        <v>1.2094835719999999</v>
      </c>
      <c r="B710" s="108">
        <v>66240.147689999998</v>
      </c>
    </row>
    <row r="711" spans="1:2">
      <c r="A711" s="1">
        <v>-0.10547627499999999</v>
      </c>
      <c r="B711" s="108">
        <v>66240.899999999994</v>
      </c>
    </row>
    <row r="712" spans="1:2">
      <c r="A712" s="1">
        <v>1.257413763</v>
      </c>
      <c r="B712" s="108">
        <v>66242.521160000004</v>
      </c>
    </row>
    <row r="713" spans="1:2">
      <c r="A713" s="1">
        <v>2.0076051150000001</v>
      </c>
      <c r="B713" s="108">
        <v>66242.521160000004</v>
      </c>
    </row>
    <row r="714" spans="1:2">
      <c r="A714" s="1">
        <v>-1.1589709420000001</v>
      </c>
      <c r="B714" s="108">
        <v>66244</v>
      </c>
    </row>
    <row r="715" spans="1:2">
      <c r="A715" s="1">
        <v>0.96890325160000002</v>
      </c>
      <c r="B715" s="108">
        <v>66245</v>
      </c>
    </row>
    <row r="716" spans="1:2">
      <c r="A716" s="1">
        <v>0.65110402190000005</v>
      </c>
      <c r="B716" s="108">
        <v>66246.8</v>
      </c>
    </row>
    <row r="717" spans="1:2">
      <c r="A717" s="1">
        <v>-0.1235005528</v>
      </c>
      <c r="B717" s="108">
        <v>66247.755019999997</v>
      </c>
    </row>
    <row r="718" spans="1:2">
      <c r="A718" s="1">
        <v>0.93675558410000004</v>
      </c>
      <c r="B718" s="108">
        <v>66249.460089999993</v>
      </c>
    </row>
    <row r="719" spans="1:2">
      <c r="A719" s="1">
        <v>0.94489559109999999</v>
      </c>
      <c r="B719" s="108">
        <v>66252.7</v>
      </c>
    </row>
    <row r="720" spans="1:2">
      <c r="A720" s="1">
        <v>1.257413763</v>
      </c>
      <c r="B720" s="108">
        <v>66253.683739999993</v>
      </c>
    </row>
    <row r="721" spans="1:2">
      <c r="A721" s="1">
        <v>1.648050558</v>
      </c>
      <c r="B721" s="108">
        <v>66253.683739999993</v>
      </c>
    </row>
    <row r="722" spans="1:2">
      <c r="A722" s="1">
        <v>0.81848494059999999</v>
      </c>
      <c r="B722" s="108">
        <v>66254.943780000001</v>
      </c>
    </row>
    <row r="723" spans="1:2">
      <c r="A723" s="1">
        <v>1.196162773</v>
      </c>
      <c r="B723" s="108">
        <v>66256.289170000004</v>
      </c>
    </row>
    <row r="724" spans="1:2">
      <c r="A724" s="1">
        <v>1.7196000840000001</v>
      </c>
      <c r="B724" s="108">
        <v>66256.417910000004</v>
      </c>
    </row>
    <row r="725" spans="1:2">
      <c r="A725" s="1">
        <v>0.21454948660000001</v>
      </c>
      <c r="B725" s="108">
        <v>66258.600000000006</v>
      </c>
    </row>
    <row r="726" spans="1:2">
      <c r="A726" s="1">
        <v>1.8009451949999999</v>
      </c>
      <c r="B726" s="108">
        <v>66258.861999999994</v>
      </c>
    </row>
    <row r="727" spans="1:2">
      <c r="A727" s="1">
        <v>1.443214432</v>
      </c>
      <c r="B727" s="108">
        <v>66258.861999999994</v>
      </c>
    </row>
    <row r="728" spans="1:2">
      <c r="A728" s="1">
        <v>0.50579837090000002</v>
      </c>
      <c r="B728" s="108">
        <v>66258.861999999994</v>
      </c>
    </row>
    <row r="729" spans="1:2">
      <c r="A729" s="1">
        <v>1.671807842</v>
      </c>
      <c r="B729" s="108">
        <v>66258.861999999994</v>
      </c>
    </row>
    <row r="730" spans="1:2">
      <c r="A730" s="1">
        <v>1.146279577</v>
      </c>
      <c r="B730" s="108">
        <v>66259.265029999995</v>
      </c>
    </row>
    <row r="731" spans="1:2">
      <c r="A731" s="1">
        <v>0.54978599340000001</v>
      </c>
      <c r="B731" s="108">
        <v>66260.095530000006</v>
      </c>
    </row>
    <row r="732" spans="1:2">
      <c r="A732" s="1">
        <v>1.218439625</v>
      </c>
      <c r="B732" s="108">
        <v>66261</v>
      </c>
    </row>
    <row r="733" spans="1:2">
      <c r="A733" s="1">
        <v>0.13859914709999999</v>
      </c>
      <c r="B733" s="108">
        <v>66262.132530000003</v>
      </c>
    </row>
    <row r="734" spans="1:2">
      <c r="A734" s="1">
        <v>0.69631754170000004</v>
      </c>
      <c r="B734" s="108">
        <v>66263.318780000001</v>
      </c>
    </row>
    <row r="735" spans="1:2">
      <c r="A735" s="1">
        <v>1.1247632910000001</v>
      </c>
      <c r="B735" s="108">
        <v>66264.359909999999</v>
      </c>
    </row>
    <row r="736" spans="1:2">
      <c r="A736" s="1">
        <v>1.3999113459999999</v>
      </c>
      <c r="B736" s="108">
        <v>66264.5</v>
      </c>
    </row>
    <row r="737" spans="1:2">
      <c r="A737" s="1">
        <v>1.1609381299999999</v>
      </c>
      <c r="B737" s="108">
        <v>66265</v>
      </c>
    </row>
    <row r="738" spans="1:2">
      <c r="A738" s="1">
        <v>-0.63573367579999995</v>
      </c>
      <c r="B738" s="108">
        <v>66266.2</v>
      </c>
    </row>
    <row r="739" spans="1:2">
      <c r="A739" s="1">
        <v>1.3080901190000001</v>
      </c>
      <c r="B739" s="108">
        <v>66266.2</v>
      </c>
    </row>
    <row r="740" spans="1:2">
      <c r="A740" s="1">
        <v>1.3080901190000001</v>
      </c>
      <c r="B740" s="108">
        <v>66266.2</v>
      </c>
    </row>
    <row r="741" spans="1:2">
      <c r="A741" s="1">
        <v>0.47844534659999999</v>
      </c>
      <c r="B741" s="108">
        <v>66266.463350000005</v>
      </c>
    </row>
    <row r="742" spans="1:2">
      <c r="A742" s="1">
        <v>-0.61986245750000002</v>
      </c>
      <c r="B742" s="108">
        <v>66266.463350000005</v>
      </c>
    </row>
    <row r="743" spans="1:2">
      <c r="A743" s="1">
        <v>2.2762014320000001</v>
      </c>
      <c r="B743" s="108">
        <v>66268.800000000003</v>
      </c>
    </row>
    <row r="744" spans="1:2">
      <c r="A744" s="1">
        <v>0.47922308590000001</v>
      </c>
      <c r="B744" s="108">
        <v>66268.800000000003</v>
      </c>
    </row>
    <row r="745" spans="1:2">
      <c r="A745" s="1">
        <v>-4.2482899400000003E-2</v>
      </c>
      <c r="B745" s="108">
        <v>66269.321290000007</v>
      </c>
    </row>
    <row r="746" spans="1:2">
      <c r="A746" s="1">
        <v>0.94528300700000001</v>
      </c>
      <c r="B746" s="108">
        <v>66269.630290000001</v>
      </c>
    </row>
    <row r="747" spans="1:2">
      <c r="A747" s="1">
        <v>2.0076051150000001</v>
      </c>
      <c r="B747" s="108">
        <v>66269.630290000001</v>
      </c>
    </row>
    <row r="748" spans="1:2">
      <c r="A748" s="1">
        <v>2.2250772400000001</v>
      </c>
      <c r="B748" s="108">
        <v>66270.399999999994</v>
      </c>
    </row>
    <row r="749" spans="1:2">
      <c r="A749" s="1">
        <v>0.69362026300000001</v>
      </c>
      <c r="B749" s="108">
        <v>66271.188999999998</v>
      </c>
    </row>
    <row r="750" spans="1:2">
      <c r="A750" s="1">
        <v>2.889373559</v>
      </c>
      <c r="B750" s="108">
        <v>66276.2</v>
      </c>
    </row>
    <row r="751" spans="1:2">
      <c r="A751" s="1">
        <v>-0.4311468041</v>
      </c>
      <c r="B751" s="108">
        <v>66276.510039999994</v>
      </c>
    </row>
    <row r="752" spans="1:2">
      <c r="A752" s="1">
        <v>0.6940301338</v>
      </c>
      <c r="B752" s="108">
        <v>66277.397259999998</v>
      </c>
    </row>
    <row r="753" spans="1:2">
      <c r="A753" s="1">
        <v>0.20037875669999999</v>
      </c>
      <c r="B753" s="108">
        <v>66280</v>
      </c>
    </row>
    <row r="754" spans="1:2">
      <c r="A754" s="1">
        <v>1.007873255</v>
      </c>
      <c r="B754" s="108">
        <v>66282.100000000006</v>
      </c>
    </row>
    <row r="755" spans="1:2">
      <c r="A755" s="1">
        <v>-0.40423293290000001</v>
      </c>
      <c r="B755" s="108">
        <v>66283.698799999998</v>
      </c>
    </row>
    <row r="756" spans="1:2">
      <c r="A756" s="1">
        <v>2.7846148180000001</v>
      </c>
      <c r="B756" s="108">
        <v>66284.800000000003</v>
      </c>
    </row>
    <row r="757" spans="1:2">
      <c r="A757" s="1">
        <v>0.51428607800000004</v>
      </c>
      <c r="B757" s="108">
        <v>66284.800000000003</v>
      </c>
    </row>
    <row r="758" spans="1:2">
      <c r="A758" s="1">
        <v>1.1793495169999999</v>
      </c>
      <c r="B758" s="108">
        <v>66285.576839999994</v>
      </c>
    </row>
    <row r="759" spans="1:2">
      <c r="A759" s="1">
        <v>1.632250891</v>
      </c>
      <c r="B759" s="108">
        <v>66285.576839999994</v>
      </c>
    </row>
    <row r="760" spans="1:2">
      <c r="A760" s="1">
        <v>0.69460395279999998</v>
      </c>
      <c r="B760" s="108">
        <v>66286.088829999993</v>
      </c>
    </row>
    <row r="761" spans="1:2">
      <c r="A761" s="1">
        <v>1.5899010030000001E-2</v>
      </c>
      <c r="B761" s="108">
        <v>66286.268660000002</v>
      </c>
    </row>
    <row r="762" spans="1:2">
      <c r="A762" s="1">
        <v>1.2955077669999999</v>
      </c>
      <c r="B762" s="108">
        <v>66288</v>
      </c>
    </row>
    <row r="763" spans="1:2">
      <c r="A763" s="1">
        <v>0.70434252259999997</v>
      </c>
      <c r="B763" s="108">
        <v>66290.887549999999</v>
      </c>
    </row>
    <row r="764" spans="1:2">
      <c r="A764" s="1">
        <v>1.6410253269999999</v>
      </c>
      <c r="B764" s="108">
        <v>66292</v>
      </c>
    </row>
    <row r="765" spans="1:2">
      <c r="A765" s="1">
        <v>0.93958369220000004</v>
      </c>
      <c r="B765" s="108">
        <v>66292.297089999993</v>
      </c>
    </row>
    <row r="766" spans="1:2">
      <c r="A766" s="1">
        <v>-7.6052836210000002E-2</v>
      </c>
      <c r="B766" s="108">
        <v>66295.571429999996</v>
      </c>
    </row>
    <row r="767" spans="1:2">
      <c r="A767" s="1">
        <v>-0.59451339219999999</v>
      </c>
      <c r="B767" s="108">
        <v>66295.571429999996</v>
      </c>
    </row>
    <row r="768" spans="1:2">
      <c r="A768" s="1">
        <v>-0.71036096579999997</v>
      </c>
      <c r="B768" s="108">
        <v>66298.076310000004</v>
      </c>
    </row>
    <row r="769" spans="1:2">
      <c r="A769" s="1">
        <v>0.62349138000000004</v>
      </c>
      <c r="B769" s="108">
        <v>66298.505359999996</v>
      </c>
    </row>
    <row r="770" spans="1:2">
      <c r="A770" s="1">
        <v>-0.75154087950000004</v>
      </c>
      <c r="B770" s="108">
        <v>66300.726060000001</v>
      </c>
    </row>
    <row r="771" spans="1:2">
      <c r="A771" s="1">
        <v>1.688896314</v>
      </c>
      <c r="B771" s="108">
        <v>66303.899999999994</v>
      </c>
    </row>
    <row r="772" spans="1:2">
      <c r="A772" s="1">
        <v>-0.92329659929999996</v>
      </c>
      <c r="B772" s="108">
        <v>66303.899999999994</v>
      </c>
    </row>
    <row r="773" spans="1:2">
      <c r="A773" s="1">
        <v>0.67845785209999998</v>
      </c>
      <c r="B773" s="108">
        <v>66303.899999999994</v>
      </c>
    </row>
    <row r="774" spans="1:2">
      <c r="A774" s="1">
        <v>0.53664840179999995</v>
      </c>
      <c r="B774" s="108">
        <v>66305.265060000005</v>
      </c>
    </row>
    <row r="775" spans="1:2">
      <c r="A775" s="1">
        <v>5.8999612409999999E-2</v>
      </c>
      <c r="B775" s="108">
        <v>66306.986900000004</v>
      </c>
    </row>
    <row r="776" spans="1:2">
      <c r="A776" s="1">
        <v>0.77823405300000004</v>
      </c>
      <c r="B776" s="108">
        <v>66307</v>
      </c>
    </row>
    <row r="777" spans="1:2">
      <c r="A777" s="1">
        <v>0.5809058104</v>
      </c>
      <c r="B777" s="108">
        <v>66307.196920000002</v>
      </c>
    </row>
    <row r="778" spans="1:2">
      <c r="A778" s="1">
        <v>-1.145447471</v>
      </c>
      <c r="B778" s="108">
        <v>66308.100000000006</v>
      </c>
    </row>
    <row r="779" spans="1:2">
      <c r="A779" s="1">
        <v>-0.49750620600000001</v>
      </c>
      <c r="B779" s="108">
        <v>66308.100000000006</v>
      </c>
    </row>
    <row r="780" spans="1:2">
      <c r="A780" s="1">
        <v>-0.49750620600000001</v>
      </c>
      <c r="B780" s="108">
        <v>66308.100000000006</v>
      </c>
    </row>
    <row r="781" spans="1:2">
      <c r="A781" s="1">
        <v>-0.33563796820000003</v>
      </c>
      <c r="B781" s="108">
        <v>66308.100000000006</v>
      </c>
    </row>
    <row r="782" spans="1:2">
      <c r="A782" s="1">
        <v>-0.48507491679999998</v>
      </c>
      <c r="B782" s="108">
        <v>66309</v>
      </c>
    </row>
    <row r="783" spans="1:2">
      <c r="A783" s="1">
        <v>1.09052207</v>
      </c>
      <c r="B783" s="108">
        <v>66312.453819999995</v>
      </c>
    </row>
    <row r="784" spans="1:2">
      <c r="A784" s="1">
        <v>0.4517965283</v>
      </c>
      <c r="B784" s="108">
        <v>66312.784360000005</v>
      </c>
    </row>
    <row r="785" spans="1:2">
      <c r="A785" s="1">
        <v>-2.5297718090000001E-2</v>
      </c>
      <c r="B785" s="108">
        <v>66313.213210000002</v>
      </c>
    </row>
    <row r="786" spans="1:2">
      <c r="A786" s="1">
        <v>1.3529730090000001</v>
      </c>
      <c r="B786" s="108">
        <v>66317</v>
      </c>
    </row>
    <row r="787" spans="1:2">
      <c r="A787" s="1">
        <v>1.6443957380000001</v>
      </c>
      <c r="B787" s="108">
        <v>66319.642569999996</v>
      </c>
    </row>
    <row r="788" spans="1:2">
      <c r="A788" s="1">
        <v>0.30850571869999999</v>
      </c>
      <c r="B788" s="108">
        <v>66321.475930000001</v>
      </c>
    </row>
    <row r="789" spans="1:2">
      <c r="A789" s="1">
        <v>1.6410253269999999</v>
      </c>
      <c r="B789" s="108">
        <v>66325</v>
      </c>
    </row>
    <row r="790" spans="1:2">
      <c r="A790" s="1">
        <v>-0.49394324810000001</v>
      </c>
      <c r="B790" s="108">
        <v>66325.443209999998</v>
      </c>
    </row>
    <row r="791" spans="1:2">
      <c r="A791" s="1">
        <v>0.21838110629999999</v>
      </c>
      <c r="B791" s="108">
        <v>66325.443209999998</v>
      </c>
    </row>
    <row r="792" spans="1:2">
      <c r="A792" s="1">
        <v>-0.19621847049999999</v>
      </c>
      <c r="B792" s="108">
        <v>66325.443209999998</v>
      </c>
    </row>
    <row r="793" spans="1:2">
      <c r="A793" s="1">
        <v>7.7563269239999998E-3</v>
      </c>
      <c r="B793" s="108">
        <v>66326.831330000001</v>
      </c>
    </row>
    <row r="794" spans="1:2">
      <c r="A794" s="1">
        <v>-0.71252327370000001</v>
      </c>
      <c r="B794" s="108">
        <v>66327.68419</v>
      </c>
    </row>
    <row r="795" spans="1:2">
      <c r="A795" s="1">
        <v>0.84044641220000005</v>
      </c>
      <c r="B795" s="108">
        <v>66329.048880000002</v>
      </c>
    </row>
    <row r="796" spans="1:2">
      <c r="A796" s="1">
        <v>3.278117824E-2</v>
      </c>
      <c r="B796" s="108">
        <v>66331.853000000003</v>
      </c>
    </row>
    <row r="797" spans="1:2">
      <c r="A797" s="1">
        <v>-1.54377404</v>
      </c>
      <c r="B797" s="108">
        <v>66331.853000000003</v>
      </c>
    </row>
    <row r="798" spans="1:2">
      <c r="A798" s="1">
        <v>-0.84347621419999996</v>
      </c>
      <c r="B798" s="108">
        <v>66331.853000000003</v>
      </c>
    </row>
    <row r="799" spans="1:2">
      <c r="A799" s="1">
        <v>-0.53686681780000001</v>
      </c>
      <c r="B799" s="108">
        <v>66331.853000000003</v>
      </c>
    </row>
    <row r="800" spans="1:2">
      <c r="A800" s="1">
        <v>0.2939919084</v>
      </c>
      <c r="B800" s="108">
        <v>66334.499549999993</v>
      </c>
    </row>
    <row r="801" spans="1:2">
      <c r="A801" s="1">
        <v>2.9463370069999999</v>
      </c>
      <c r="B801" s="108">
        <v>66334.738960000002</v>
      </c>
    </row>
    <row r="802" spans="1:2">
      <c r="A802" s="1">
        <v>-0.40987472159999999</v>
      </c>
      <c r="B802" s="108">
        <v>66335.754929999996</v>
      </c>
    </row>
    <row r="803" spans="1:2">
      <c r="A803" s="1">
        <v>1.463844014E-2</v>
      </c>
      <c r="B803" s="108">
        <v>66336.600000000006</v>
      </c>
    </row>
    <row r="804" spans="1:2">
      <c r="A804" s="1">
        <v>-0.60772967020000002</v>
      </c>
      <c r="B804" s="108">
        <v>66336.600000000006</v>
      </c>
    </row>
    <row r="805" spans="1:2">
      <c r="A805" s="1">
        <v>-0.98084552989999996</v>
      </c>
      <c r="B805" s="108">
        <v>66336.600000000006</v>
      </c>
    </row>
    <row r="806" spans="1:2">
      <c r="A806" s="1">
        <v>0.3944879537</v>
      </c>
      <c r="B806" s="108">
        <v>66342.646590000004</v>
      </c>
    </row>
    <row r="807" spans="1:2">
      <c r="A807" s="1">
        <v>-0.57334942830000002</v>
      </c>
      <c r="B807" s="108">
        <v>66342.838210000002</v>
      </c>
    </row>
    <row r="808" spans="1:2">
      <c r="A808" s="1">
        <v>-0.3661825011</v>
      </c>
      <c r="B808" s="108">
        <v>66343.825670000006</v>
      </c>
    </row>
    <row r="809" spans="1:2">
      <c r="A809" s="1">
        <v>-1.562380675</v>
      </c>
      <c r="B809" s="108">
        <v>66344.579060000004</v>
      </c>
    </row>
    <row r="810" spans="1:2">
      <c r="A810" s="1">
        <v>-1.047462975</v>
      </c>
      <c r="B810" s="108">
        <v>66345</v>
      </c>
    </row>
    <row r="811" spans="1:2">
      <c r="A811" s="1">
        <v>-0.43790977689999999</v>
      </c>
      <c r="B811" s="108">
        <v>66349.116469999994</v>
      </c>
    </row>
    <row r="812" spans="1:2">
      <c r="A812" s="1">
        <v>-0.78298005339999999</v>
      </c>
      <c r="B812" s="108">
        <v>66350.033930000005</v>
      </c>
    </row>
    <row r="813" spans="1:2">
      <c r="A813" s="1">
        <v>0.43539434570000002</v>
      </c>
      <c r="B813" s="108">
        <v>66354.100000000006</v>
      </c>
    </row>
    <row r="814" spans="1:2">
      <c r="A814" s="1">
        <v>-0.95106509139999995</v>
      </c>
      <c r="B814" s="108">
        <v>66354.8</v>
      </c>
    </row>
    <row r="815" spans="1:2">
      <c r="A815" s="1">
        <v>-2.2349278409999999E-2</v>
      </c>
      <c r="B815" s="108">
        <v>66354.8</v>
      </c>
    </row>
    <row r="816" spans="1:2">
      <c r="A816" s="1">
        <v>-2.2349278409999999E-2</v>
      </c>
      <c r="B816" s="108">
        <v>66354.8</v>
      </c>
    </row>
    <row r="817" spans="1:2">
      <c r="A817" s="1">
        <v>-0.54378554540000001</v>
      </c>
      <c r="B817" s="108">
        <v>66354.8</v>
      </c>
    </row>
    <row r="818" spans="1:2">
      <c r="A818" s="1">
        <v>-1.2256552890000001</v>
      </c>
      <c r="B818" s="108">
        <v>66355.148000000001</v>
      </c>
    </row>
    <row r="819" spans="1:2">
      <c r="A819" s="1">
        <v>-0.86899107600000003</v>
      </c>
      <c r="B819" s="108">
        <v>66355.148000000001</v>
      </c>
    </row>
    <row r="820" spans="1:2">
      <c r="A820" s="1">
        <v>-1.1350211480000001</v>
      </c>
      <c r="B820" s="108">
        <v>66355.148000000001</v>
      </c>
    </row>
    <row r="821" spans="1:2">
      <c r="A821" s="1">
        <v>1.1594438469999999</v>
      </c>
      <c r="B821" s="108">
        <v>66355.148000000001</v>
      </c>
    </row>
    <row r="822" spans="1:2">
      <c r="A822" s="1">
        <v>-0.70180402659999996</v>
      </c>
      <c r="B822" s="108">
        <v>66357.399999999994</v>
      </c>
    </row>
    <row r="823" spans="1:2">
      <c r="A823" s="1">
        <v>0.1156878516</v>
      </c>
      <c r="B823" s="108">
        <v>66358.461850000007</v>
      </c>
    </row>
    <row r="824" spans="1:2">
      <c r="A824" s="1">
        <v>-0.86868402440000003</v>
      </c>
      <c r="B824" s="108">
        <v>66359.346319999997</v>
      </c>
    </row>
    <row r="825" spans="1:2">
      <c r="A825" s="1">
        <v>-0.1620080917</v>
      </c>
      <c r="B825" s="108">
        <v>66363.493979999999</v>
      </c>
    </row>
    <row r="826" spans="1:2">
      <c r="A826" s="1">
        <v>0.28315300770000001</v>
      </c>
      <c r="B826" s="108">
        <v>66364.399999999994</v>
      </c>
    </row>
    <row r="827" spans="1:2">
      <c r="A827" s="1">
        <v>-1.170430861</v>
      </c>
      <c r="B827" s="108">
        <v>66364.93376</v>
      </c>
    </row>
    <row r="828" spans="1:2">
      <c r="A828" s="1">
        <v>-0.85542809600000003</v>
      </c>
      <c r="B828" s="108">
        <v>66365</v>
      </c>
    </row>
    <row r="829" spans="1:2">
      <c r="A829" s="1">
        <v>-0.14168284740000001</v>
      </c>
      <c r="B829" s="108">
        <v>66368.517649999994</v>
      </c>
    </row>
    <row r="830" spans="1:2">
      <c r="A830" s="1">
        <v>0.2810356349</v>
      </c>
      <c r="B830" s="108">
        <v>66369.963860000003</v>
      </c>
    </row>
    <row r="831" spans="1:2">
      <c r="A831" s="1">
        <v>0.1834269077</v>
      </c>
      <c r="B831" s="108">
        <v>66371.3</v>
      </c>
    </row>
    <row r="832" spans="1:2">
      <c r="A832" s="1">
        <v>-1.026115374</v>
      </c>
      <c r="B832" s="108">
        <v>66371.762849999999</v>
      </c>
    </row>
    <row r="833" spans="1:2">
      <c r="A833" s="1">
        <v>0.75096127489999998</v>
      </c>
      <c r="B833" s="108">
        <v>66372.5</v>
      </c>
    </row>
    <row r="834" spans="1:2">
      <c r="A834" s="1">
        <v>-1.2300977799999999</v>
      </c>
      <c r="B834" s="108">
        <v>66372.5</v>
      </c>
    </row>
    <row r="835" spans="1:2">
      <c r="A835" s="1">
        <v>-0.61032170190000001</v>
      </c>
      <c r="B835" s="108">
        <v>66373.282850000003</v>
      </c>
    </row>
    <row r="836" spans="1:2">
      <c r="A836" s="1">
        <v>-0.9823992413</v>
      </c>
      <c r="B836" s="108">
        <v>66373.282850000003</v>
      </c>
    </row>
    <row r="837" spans="1:2">
      <c r="A837" s="1">
        <v>-0.61025237580000002</v>
      </c>
      <c r="B837" s="108">
        <v>66373.282850000003</v>
      </c>
    </row>
    <row r="838" spans="1:2">
      <c r="A838" s="1">
        <v>0.71664728509999998</v>
      </c>
      <c r="B838" s="108">
        <v>66373.282850000003</v>
      </c>
    </row>
    <row r="839" spans="1:2">
      <c r="A839" s="1">
        <v>0.2838966141</v>
      </c>
      <c r="B839" s="108">
        <v>66373.283119999993</v>
      </c>
    </row>
    <row r="840" spans="1:2">
      <c r="A840" s="1">
        <v>-0.41279016369999999</v>
      </c>
      <c r="B840" s="108">
        <v>66377.152610000005</v>
      </c>
    </row>
    <row r="841" spans="1:2">
      <c r="A841" s="1">
        <v>0.78843975720000004</v>
      </c>
      <c r="B841" s="108">
        <v>66378.3</v>
      </c>
    </row>
    <row r="842" spans="1:2">
      <c r="A842" s="1">
        <v>-1.175891697</v>
      </c>
      <c r="B842" s="108">
        <v>66378.442999999999</v>
      </c>
    </row>
    <row r="843" spans="1:2">
      <c r="A843" s="1">
        <v>-0.95506150899999998</v>
      </c>
      <c r="B843" s="108">
        <v>66378.442999999999</v>
      </c>
    </row>
    <row r="844" spans="1:2">
      <c r="A844" s="1">
        <v>-1.1715982650000001</v>
      </c>
      <c r="B844" s="108">
        <v>66378.442999999999</v>
      </c>
    </row>
    <row r="845" spans="1:2">
      <c r="A845" s="1">
        <v>-1.298966324</v>
      </c>
      <c r="B845" s="108">
        <v>66379.212759999995</v>
      </c>
    </row>
    <row r="846" spans="1:2">
      <c r="A846" s="1">
        <v>0.48881605490000002</v>
      </c>
      <c r="B846" s="108">
        <v>66380</v>
      </c>
    </row>
    <row r="847" spans="1:2">
      <c r="A847" s="1">
        <v>-2.2173136659999999</v>
      </c>
      <c r="B847" s="108">
        <v>66380.458799999993</v>
      </c>
    </row>
    <row r="848" spans="1:2">
      <c r="A848" s="1">
        <v>0.97279113579999998</v>
      </c>
      <c r="B848" s="108">
        <v>66384.341369999995</v>
      </c>
    </row>
    <row r="849" spans="1:2">
      <c r="A849" s="1">
        <v>-1.082718523</v>
      </c>
      <c r="B849" s="108">
        <v>66386.041849999994</v>
      </c>
    </row>
    <row r="850" spans="1:2">
      <c r="A850" s="1">
        <v>0.59317781030000005</v>
      </c>
      <c r="B850" s="108">
        <v>66389.2</v>
      </c>
    </row>
    <row r="851" spans="1:2">
      <c r="A851" s="1">
        <v>-1.0723143159999999</v>
      </c>
      <c r="B851" s="108">
        <v>66389.2</v>
      </c>
    </row>
    <row r="852" spans="1:2">
      <c r="A852" s="1">
        <v>-0.23604458</v>
      </c>
      <c r="B852" s="108">
        <v>66389.2</v>
      </c>
    </row>
    <row r="853" spans="1:2">
      <c r="A853" s="1">
        <v>0.25122334680000002</v>
      </c>
      <c r="B853" s="108">
        <v>66391.530119999996</v>
      </c>
    </row>
    <row r="854" spans="1:2">
      <c r="A854" s="1">
        <v>-1.2693326700000001</v>
      </c>
      <c r="B854" s="108">
        <v>66392.250109999994</v>
      </c>
    </row>
    <row r="855" spans="1:2">
      <c r="A855" s="1">
        <v>0.59309094640000004</v>
      </c>
      <c r="B855" s="108">
        <v>66392.491410000002</v>
      </c>
    </row>
    <row r="856" spans="1:2">
      <c r="A856" s="1">
        <v>-0.16777726279999999</v>
      </c>
      <c r="B856" s="108">
        <v>66394.323139999993</v>
      </c>
    </row>
    <row r="857" spans="1:2">
      <c r="A857" s="1">
        <v>-0.9730880838</v>
      </c>
      <c r="B857" s="108">
        <v>66395.600000000006</v>
      </c>
    </row>
    <row r="858" spans="1:2">
      <c r="A858" s="1">
        <v>0.6946811329</v>
      </c>
      <c r="B858" s="108">
        <v>66395.843370000002</v>
      </c>
    </row>
    <row r="859" spans="1:2">
      <c r="A859" s="1">
        <v>0.36150120889999998</v>
      </c>
      <c r="B859" s="108">
        <v>66398.974000000002</v>
      </c>
    </row>
    <row r="860" spans="1:2">
      <c r="A860" s="1">
        <v>-1.657316309</v>
      </c>
      <c r="B860" s="108">
        <v>66399.079199999993</v>
      </c>
    </row>
    <row r="861" spans="1:2">
      <c r="A861" s="1">
        <v>0.43539434570000002</v>
      </c>
      <c r="B861" s="108">
        <v>66399.399999999994</v>
      </c>
    </row>
    <row r="862" spans="1:2">
      <c r="A862" s="1">
        <v>-0.80057612690000002</v>
      </c>
      <c r="B862" s="108">
        <v>66399.399999999994</v>
      </c>
    </row>
    <row r="863" spans="1:2">
      <c r="A863" s="1">
        <v>-1.1969085100000001</v>
      </c>
      <c r="B863" s="108">
        <v>66399.700030000007</v>
      </c>
    </row>
    <row r="864" spans="1:2">
      <c r="A864" s="1">
        <v>-0.37534089929999997</v>
      </c>
      <c r="B864" s="108">
        <v>66400</v>
      </c>
    </row>
    <row r="865" spans="1:2">
      <c r="A865" s="1">
        <v>-0.86899253119999997</v>
      </c>
      <c r="B865" s="108">
        <v>66401.399999999994</v>
      </c>
    </row>
    <row r="866" spans="1:2">
      <c r="A866" s="1">
        <v>-0.47590816380000001</v>
      </c>
      <c r="B866" s="108">
        <v>66401.399999999994</v>
      </c>
    </row>
    <row r="867" spans="1:2">
      <c r="A867" s="1">
        <v>-0.47590816380000001</v>
      </c>
      <c r="B867" s="108">
        <v>66401.399999999994</v>
      </c>
    </row>
    <row r="868" spans="1:2">
      <c r="A868" s="1">
        <v>0.58021137140000001</v>
      </c>
      <c r="B868" s="108">
        <v>66401.399999999994</v>
      </c>
    </row>
    <row r="869" spans="1:2">
      <c r="A869" s="1">
        <v>-0.69220962129999997</v>
      </c>
      <c r="B869" s="108">
        <v>66401.649640000003</v>
      </c>
    </row>
    <row r="870" spans="1:2">
      <c r="A870" s="1">
        <v>-1.1633935419999999</v>
      </c>
      <c r="B870" s="108">
        <v>66401.649640000003</v>
      </c>
    </row>
    <row r="871" spans="1:2">
      <c r="A871" s="1">
        <v>-1.0918602289999999</v>
      </c>
      <c r="B871" s="108">
        <v>66401.737999999998</v>
      </c>
    </row>
    <row r="872" spans="1:2">
      <c r="A872" s="1">
        <v>-0.99373232440000003</v>
      </c>
      <c r="B872" s="108">
        <v>66401.737999999998</v>
      </c>
    </row>
    <row r="873" spans="1:2">
      <c r="A873" s="1">
        <v>-1.4360564140000001</v>
      </c>
      <c r="B873" s="108">
        <v>66401.737999999998</v>
      </c>
    </row>
    <row r="874" spans="1:2">
      <c r="A874" s="1">
        <v>-0.45816978320000001</v>
      </c>
      <c r="B874" s="108">
        <v>66403.903900000005</v>
      </c>
    </row>
    <row r="875" spans="1:2">
      <c r="A875" s="1">
        <v>-1.0669385</v>
      </c>
      <c r="B875" s="108">
        <v>66407.149940000003</v>
      </c>
    </row>
    <row r="876" spans="1:2">
      <c r="A876" s="1">
        <v>1.464587621</v>
      </c>
      <c r="B876" s="108">
        <v>66408.5</v>
      </c>
    </row>
    <row r="877" spans="1:2">
      <c r="A877" s="1">
        <v>0.55500504220000002</v>
      </c>
      <c r="B877" s="108">
        <v>66408.71398</v>
      </c>
    </row>
    <row r="878" spans="1:2">
      <c r="A878" s="1">
        <v>-1.0808741049999999</v>
      </c>
      <c r="B878" s="108">
        <v>66413.979030000002</v>
      </c>
    </row>
    <row r="879" spans="1:2">
      <c r="A879" s="1">
        <v>-1.3077112740000001</v>
      </c>
      <c r="B879" s="108">
        <v>66417.783679999993</v>
      </c>
    </row>
    <row r="880" spans="1:2">
      <c r="A880" s="1">
        <v>-0.16656274679999999</v>
      </c>
      <c r="B880" s="108">
        <v>66418.453949999996</v>
      </c>
    </row>
    <row r="881" spans="1:2">
      <c r="A881" s="1">
        <v>0.1080331712</v>
      </c>
      <c r="B881" s="108">
        <v>66418.733689999994</v>
      </c>
    </row>
    <row r="882" spans="1:2">
      <c r="A882" s="1">
        <v>-1.5983768970000001</v>
      </c>
      <c r="B882" s="108">
        <v>66420.187290000002</v>
      </c>
    </row>
    <row r="883" spans="1:2">
      <c r="A883" s="1">
        <v>1.496918473</v>
      </c>
      <c r="B883" s="108">
        <v>66424.2</v>
      </c>
    </row>
    <row r="884" spans="1:2">
      <c r="A884" s="1">
        <v>-0.76839891670000005</v>
      </c>
      <c r="B884" s="108">
        <v>66425.580889999997</v>
      </c>
    </row>
    <row r="885" spans="1:2">
      <c r="A885" s="1">
        <v>-0.42663745530000002</v>
      </c>
      <c r="B885" s="108">
        <v>66426.585999999996</v>
      </c>
    </row>
    <row r="886" spans="1:2">
      <c r="A886" s="1">
        <v>-1.402139834</v>
      </c>
      <c r="B886" s="108">
        <v>66426.585999999996</v>
      </c>
    </row>
    <row r="887" spans="1:2">
      <c r="A887" s="1">
        <v>-0.54097610119999995</v>
      </c>
      <c r="B887" s="108">
        <v>66426.585999999996</v>
      </c>
    </row>
    <row r="888" spans="1:2">
      <c r="A888" s="1">
        <v>-1.367701646</v>
      </c>
      <c r="B888" s="108">
        <v>66427.637210000001</v>
      </c>
    </row>
    <row r="889" spans="1:2">
      <c r="A889" s="1">
        <v>-0.33370478819999999</v>
      </c>
      <c r="B889" s="108">
        <v>66428.193929999994</v>
      </c>
    </row>
    <row r="890" spans="1:2">
      <c r="A890" s="1">
        <v>-1.1063463760000001</v>
      </c>
      <c r="B890" s="108">
        <v>66429.088629999998</v>
      </c>
    </row>
    <row r="891" spans="1:2">
      <c r="A891" s="1">
        <v>-0.9823992413</v>
      </c>
      <c r="B891" s="108">
        <v>66429.088629999998</v>
      </c>
    </row>
    <row r="892" spans="1:2">
      <c r="A892" s="1">
        <v>-0.65162465439999995</v>
      </c>
      <c r="B892" s="108">
        <v>66429.088629999998</v>
      </c>
    </row>
    <row r="893" spans="1:2">
      <c r="A893" s="1">
        <v>-2.7479984279999998</v>
      </c>
      <c r="B893" s="108">
        <v>66431.100000000006</v>
      </c>
    </row>
    <row r="894" spans="1:2">
      <c r="A894" s="1">
        <v>-0.95004336570000003</v>
      </c>
      <c r="B894" s="108">
        <v>66434.4663</v>
      </c>
    </row>
    <row r="895" spans="1:2">
      <c r="A895" s="1">
        <v>-0.41488321350000001</v>
      </c>
      <c r="B895" s="108">
        <v>66437.600000000006</v>
      </c>
    </row>
    <row r="896" spans="1:2">
      <c r="A896" s="1">
        <v>-1.5807277019999999</v>
      </c>
      <c r="B896" s="108">
        <v>66437.600000000006</v>
      </c>
    </row>
    <row r="897" spans="1:2">
      <c r="A897" s="1">
        <v>-1.748546296</v>
      </c>
      <c r="B897" s="108">
        <v>66437.933910000007</v>
      </c>
    </row>
    <row r="898" spans="1:2">
      <c r="A898" s="1">
        <v>-0.92077859510000004</v>
      </c>
      <c r="B898" s="108">
        <v>66441.916209999996</v>
      </c>
    </row>
    <row r="899" spans="1:2">
      <c r="A899" s="1">
        <v>-2.1811024580000002E-3</v>
      </c>
      <c r="B899" s="108">
        <v>66447.673890000005</v>
      </c>
    </row>
    <row r="900" spans="1:2">
      <c r="A900" s="1">
        <v>-1.47805732</v>
      </c>
      <c r="B900" s="108">
        <v>66448</v>
      </c>
    </row>
    <row r="901" spans="1:2">
      <c r="A901" s="1">
        <v>-0.86899253119999997</v>
      </c>
      <c r="B901" s="108">
        <v>66448</v>
      </c>
    </row>
    <row r="902" spans="1:2">
      <c r="A902" s="1">
        <v>-0.86899253119999997</v>
      </c>
      <c r="B902" s="108">
        <v>66448</v>
      </c>
    </row>
    <row r="903" spans="1:2">
      <c r="A903" s="1">
        <v>-1.626152947</v>
      </c>
      <c r="B903" s="108">
        <v>66448</v>
      </c>
    </row>
    <row r="904" spans="1:2">
      <c r="A904" s="1">
        <v>-1.294334785</v>
      </c>
      <c r="B904" s="108">
        <v>66449.366129999995</v>
      </c>
    </row>
    <row r="905" spans="1:2">
      <c r="A905" s="1">
        <v>-1.3853072289999999</v>
      </c>
      <c r="B905" s="108">
        <v>66449.880999999994</v>
      </c>
    </row>
    <row r="906" spans="1:2">
      <c r="A906" s="1">
        <v>-1.2276832179999999</v>
      </c>
      <c r="B906" s="108">
        <v>66449.880999999994</v>
      </c>
    </row>
    <row r="907" spans="1:2">
      <c r="A907" s="1">
        <v>-0.85413272689999997</v>
      </c>
      <c r="B907" s="108">
        <v>66449.880999999994</v>
      </c>
    </row>
    <row r="908" spans="1:2">
      <c r="A908" s="1">
        <v>-1.567472644</v>
      </c>
      <c r="B908" s="108">
        <v>66452.470260000002</v>
      </c>
    </row>
    <row r="909" spans="1:2">
      <c r="A909" s="1">
        <v>-0.35569679209999999</v>
      </c>
      <c r="B909" s="108">
        <v>66452.749909999999</v>
      </c>
    </row>
    <row r="910" spans="1:2">
      <c r="A910" s="1">
        <v>-2.4794498299999999E-2</v>
      </c>
      <c r="B910" s="108">
        <v>66452.749909999999</v>
      </c>
    </row>
    <row r="911" spans="1:2">
      <c r="A911" s="1">
        <v>-1.1950347880000001</v>
      </c>
      <c r="B911" s="108">
        <v>66455.899999999994</v>
      </c>
    </row>
    <row r="912" spans="1:2">
      <c r="A912" s="1">
        <v>-1.694682426</v>
      </c>
      <c r="B912" s="108">
        <v>66455.899999999994</v>
      </c>
    </row>
    <row r="913" spans="1:2">
      <c r="A913" s="1">
        <v>-0.1693231439</v>
      </c>
      <c r="B913" s="108">
        <v>66457.413870000004</v>
      </c>
    </row>
    <row r="914" spans="1:2">
      <c r="A914" s="1">
        <v>-0.47940795670000003</v>
      </c>
      <c r="B914" s="108">
        <v>66459.183669999999</v>
      </c>
    </row>
    <row r="915" spans="1:2">
      <c r="A915" s="1">
        <v>-0.1913743144</v>
      </c>
      <c r="B915" s="108">
        <v>66459.183669999999</v>
      </c>
    </row>
    <row r="916" spans="1:2">
      <c r="A916" s="1">
        <v>-1.293638004</v>
      </c>
      <c r="B916" s="108">
        <v>66459.920169999998</v>
      </c>
    </row>
    <row r="917" spans="1:2">
      <c r="A917" s="1">
        <v>-2.52316444</v>
      </c>
      <c r="B917" s="108">
        <v>66466.7</v>
      </c>
    </row>
    <row r="918" spans="1:2">
      <c r="A918" s="1">
        <v>-0.68895570630000003</v>
      </c>
      <c r="B918" s="108">
        <v>66466.749259999997</v>
      </c>
    </row>
    <row r="919" spans="1:2">
      <c r="A919" s="1">
        <v>-0.6026369292</v>
      </c>
      <c r="B919" s="108">
        <v>66466.749259999997</v>
      </c>
    </row>
    <row r="920" spans="1:2">
      <c r="A920" s="1">
        <v>-0.447157107</v>
      </c>
      <c r="B920" s="108">
        <v>66467.153850000002</v>
      </c>
    </row>
    <row r="921" spans="1:2">
      <c r="A921" s="1">
        <v>-1.5093106590000001</v>
      </c>
      <c r="B921" s="108">
        <v>66473.176000000007</v>
      </c>
    </row>
    <row r="922" spans="1:2">
      <c r="A922" s="1">
        <v>-1.3660143629999999</v>
      </c>
      <c r="B922" s="108">
        <v>66473.176000000007</v>
      </c>
    </row>
    <row r="923" spans="1:2">
      <c r="A923" s="1">
        <v>-0.75984609489999999</v>
      </c>
      <c r="B923" s="108">
        <v>66473.176000000007</v>
      </c>
    </row>
    <row r="924" spans="1:2">
      <c r="A924" s="1">
        <v>-1.148830673</v>
      </c>
      <c r="B924" s="108">
        <v>66474.199170000007</v>
      </c>
    </row>
    <row r="925" spans="1:2">
      <c r="A925" s="1">
        <v>-2.6469620520000001</v>
      </c>
      <c r="B925" s="108">
        <v>66475.600000000006</v>
      </c>
    </row>
    <row r="926" spans="1:2">
      <c r="A926" s="1">
        <v>-0.89158103209999995</v>
      </c>
      <c r="B926" s="108">
        <v>66476.893819999998</v>
      </c>
    </row>
    <row r="927" spans="1:2">
      <c r="A927" s="1">
        <v>-0.96131481090000004</v>
      </c>
      <c r="B927" s="108">
        <v>66481.649090000006</v>
      </c>
    </row>
    <row r="928" spans="1:2">
      <c r="A928" s="1">
        <v>-0.22372544520000001</v>
      </c>
      <c r="B928" s="108">
        <v>66481.659390000001</v>
      </c>
    </row>
    <row r="929" spans="1:2">
      <c r="A929" s="1">
        <v>-2.2381862990000001</v>
      </c>
      <c r="B929" s="108">
        <v>66484.399999999994</v>
      </c>
    </row>
    <row r="930" spans="1:2">
      <c r="A930" s="1">
        <v>-6.0425480220000001E-2</v>
      </c>
      <c r="B930" s="108">
        <v>66484.685809999995</v>
      </c>
    </row>
    <row r="931" spans="1:2">
      <c r="A931" s="1">
        <v>-2.4684025190000001</v>
      </c>
      <c r="B931" s="108">
        <v>66484.906860000003</v>
      </c>
    </row>
    <row r="932" spans="1:2">
      <c r="A932" s="1">
        <v>0.63700655039999998</v>
      </c>
      <c r="B932" s="108">
        <v>66488.399999999994</v>
      </c>
    </row>
    <row r="933" spans="1:2">
      <c r="A933" s="1">
        <v>0.36526836140000002</v>
      </c>
      <c r="B933" s="108">
        <v>66488.399999999994</v>
      </c>
    </row>
    <row r="934" spans="1:2">
      <c r="A934" s="1">
        <v>0.70713253470000004</v>
      </c>
      <c r="B934" s="108">
        <v>66488.399999999994</v>
      </c>
    </row>
    <row r="935" spans="1:2">
      <c r="A935" s="1">
        <v>-0.65155841029999995</v>
      </c>
      <c r="B935" s="108">
        <v>66488.399999999994</v>
      </c>
    </row>
    <row r="936" spans="1:2">
      <c r="A936" s="1">
        <v>-1.501835969</v>
      </c>
      <c r="B936" s="108">
        <v>66488.399999999994</v>
      </c>
    </row>
    <row r="937" spans="1:2">
      <c r="A937" s="1">
        <v>-1.0723143159999999</v>
      </c>
      <c r="B937" s="108">
        <v>66488.399999999994</v>
      </c>
    </row>
    <row r="938" spans="1:2">
      <c r="A938" s="1">
        <v>-0.1134823984</v>
      </c>
      <c r="B938" s="108">
        <v>66488.399999999994</v>
      </c>
    </row>
    <row r="939" spans="1:2">
      <c r="A939" s="1">
        <v>-1.2485932099999999</v>
      </c>
      <c r="B939" s="108">
        <v>66488.478180000006</v>
      </c>
    </row>
    <row r="940" spans="1:2">
      <c r="A940" s="1">
        <v>-1.2955215440000001</v>
      </c>
      <c r="B940" s="108">
        <v>66493.3</v>
      </c>
    </row>
    <row r="941" spans="1:2">
      <c r="A941" s="1">
        <v>0.5490701885</v>
      </c>
      <c r="B941" s="108">
        <v>66494.425789999994</v>
      </c>
    </row>
    <row r="942" spans="1:2">
      <c r="A942" s="1">
        <v>-0.33853548309999998</v>
      </c>
      <c r="B942" s="108">
        <v>66496.373779999994</v>
      </c>
    </row>
    <row r="943" spans="1:2">
      <c r="A943" s="1">
        <v>-1.2124335959999999</v>
      </c>
      <c r="B943" s="108">
        <v>66496.471000000005</v>
      </c>
    </row>
    <row r="944" spans="1:2">
      <c r="A944" s="1">
        <v>-1.364318508</v>
      </c>
      <c r="B944" s="108">
        <v>66496.471000000005</v>
      </c>
    </row>
    <row r="945" spans="1:2">
      <c r="A945" s="1">
        <v>-0.74565070349999996</v>
      </c>
      <c r="B945" s="108">
        <v>66496.471000000005</v>
      </c>
    </row>
    <row r="946" spans="1:2">
      <c r="A946" s="1">
        <v>-0.36787560809999997</v>
      </c>
      <c r="B946" s="108">
        <v>66497</v>
      </c>
    </row>
    <row r="947" spans="1:2">
      <c r="A947" s="1">
        <v>-0.95288071480000003</v>
      </c>
      <c r="B947" s="108">
        <v>66500</v>
      </c>
    </row>
    <row r="948" spans="1:2">
      <c r="A948" s="1">
        <v>-2.4302959610000001</v>
      </c>
      <c r="B948" s="108">
        <v>66502.100000000006</v>
      </c>
    </row>
    <row r="949" spans="1:2">
      <c r="A949" s="1">
        <v>-0.44991750400000002</v>
      </c>
      <c r="B949" s="108">
        <v>66506.113759999993</v>
      </c>
    </row>
    <row r="950" spans="1:2">
      <c r="A950" s="1">
        <v>0.54768998999999996</v>
      </c>
      <c r="B950" s="108">
        <v>66512.93174</v>
      </c>
    </row>
    <row r="951" spans="1:2">
      <c r="A951" s="1">
        <v>-1.7199725539999999</v>
      </c>
      <c r="B951" s="108">
        <v>66521.319000000003</v>
      </c>
    </row>
    <row r="952" spans="1:2">
      <c r="A952" s="1">
        <v>-1.169990909</v>
      </c>
      <c r="B952" s="108">
        <v>66521.319000000003</v>
      </c>
    </row>
    <row r="953" spans="1:2">
      <c r="A953" s="1">
        <v>-1.174022422</v>
      </c>
      <c r="B953" s="108">
        <v>66521.319000000003</v>
      </c>
    </row>
    <row r="954" spans="1:2">
      <c r="A954" s="1">
        <v>0.32520198769999997</v>
      </c>
      <c r="B954" s="108">
        <v>66523.64572</v>
      </c>
    </row>
    <row r="955" spans="1:2">
      <c r="A955" s="1">
        <v>-0.2220367567</v>
      </c>
      <c r="B955" s="108">
        <v>66523.8</v>
      </c>
    </row>
    <row r="956" spans="1:2">
      <c r="A956" s="1">
        <v>-0.65155841029999995</v>
      </c>
      <c r="B956" s="108">
        <v>66523.8</v>
      </c>
    </row>
    <row r="957" spans="1:2">
      <c r="A957" s="1">
        <v>-0.54808965620000005</v>
      </c>
      <c r="B957" s="108">
        <v>66525.327510000003</v>
      </c>
    </row>
    <row r="958" spans="1:2">
      <c r="A958" s="1">
        <v>-0.39633091679999999</v>
      </c>
      <c r="B958" s="108">
        <v>66527.973809999996</v>
      </c>
    </row>
    <row r="959" spans="1:2">
      <c r="A959" s="1">
        <v>6.5528316939999998E-2</v>
      </c>
      <c r="B959" s="108">
        <v>66533.416939999996</v>
      </c>
    </row>
    <row r="960" spans="1:2">
      <c r="A960" s="1">
        <v>-2.7953521440000002</v>
      </c>
      <c r="B960" s="108">
        <v>66537.5</v>
      </c>
    </row>
    <row r="961" spans="1:2">
      <c r="A961" s="1">
        <v>0.79842653789999996</v>
      </c>
      <c r="B961" s="108">
        <v>66540</v>
      </c>
    </row>
    <row r="962" spans="1:2">
      <c r="A962" s="1">
        <v>-3.0162763479999999</v>
      </c>
      <c r="B962" s="108">
        <v>66546.3</v>
      </c>
    </row>
    <row r="963" spans="1:2">
      <c r="A963" s="1">
        <v>0.30683873189999999</v>
      </c>
      <c r="B963" s="108">
        <v>66554.925369999997</v>
      </c>
    </row>
    <row r="964" spans="1:2">
      <c r="A964" s="1">
        <v>-1.145447471</v>
      </c>
      <c r="B964" s="108">
        <v>66558</v>
      </c>
    </row>
    <row r="965" spans="1:2">
      <c r="A965" s="1">
        <v>-0.1001022302</v>
      </c>
      <c r="B965" s="108">
        <v>66558</v>
      </c>
    </row>
    <row r="966" spans="1:2">
      <c r="A966" s="1">
        <v>-0.1001022302</v>
      </c>
      <c r="B966" s="108">
        <v>66558</v>
      </c>
    </row>
    <row r="967" spans="1:2">
      <c r="A967" s="1">
        <v>-1.584523431</v>
      </c>
      <c r="B967" s="108">
        <v>66558</v>
      </c>
    </row>
    <row r="968" spans="1:2">
      <c r="A968" s="1">
        <v>0.75096127489999998</v>
      </c>
      <c r="B968" s="108">
        <v>66560.5</v>
      </c>
    </row>
    <row r="969" spans="1:2">
      <c r="A969" s="1">
        <v>-1.2651607730000001</v>
      </c>
      <c r="B969" s="108">
        <v>66560.5</v>
      </c>
    </row>
    <row r="970" spans="1:2">
      <c r="A970" s="1">
        <v>-2.3026524300000002</v>
      </c>
      <c r="B970" s="108">
        <v>66564</v>
      </c>
    </row>
    <row r="971" spans="1:2">
      <c r="A971" s="1">
        <v>-2.3664782959999999</v>
      </c>
      <c r="B971" s="108">
        <v>66570.3</v>
      </c>
    </row>
    <row r="972" spans="1:2">
      <c r="A972" s="1">
        <v>0.2863766291</v>
      </c>
      <c r="B972" s="108">
        <v>66578.899999999994</v>
      </c>
    </row>
    <row r="973" spans="1:2">
      <c r="A973" s="1">
        <v>-1.282692269</v>
      </c>
      <c r="B973" s="108">
        <v>66578.899999999994</v>
      </c>
    </row>
    <row r="974" spans="1:2">
      <c r="A974" s="1">
        <v>-1.0765584479999999</v>
      </c>
      <c r="B974" s="108">
        <v>66581.918990000006</v>
      </c>
    </row>
    <row r="975" spans="1:2">
      <c r="A975" s="1">
        <v>-3.2875626740000001</v>
      </c>
      <c r="B975" s="108">
        <v>66582.899999999994</v>
      </c>
    </row>
    <row r="976" spans="1:2">
      <c r="A976" s="1">
        <v>-0.99269202590000005</v>
      </c>
      <c r="B976" s="108">
        <v>66584.776119999995</v>
      </c>
    </row>
    <row r="977" spans="1:2">
      <c r="A977" s="1">
        <v>-0.45816978320000001</v>
      </c>
      <c r="B977" s="108">
        <v>66595.348299999998</v>
      </c>
    </row>
    <row r="978" spans="1:2">
      <c r="A978" s="1">
        <v>-0.84071428790000002</v>
      </c>
      <c r="B978" s="108">
        <v>66601.547000000006</v>
      </c>
    </row>
    <row r="979" spans="1:2">
      <c r="A979" s="1">
        <v>0.63050648310000001</v>
      </c>
      <c r="B979" s="108">
        <v>66612.663759999996</v>
      </c>
    </row>
    <row r="980" spans="1:2">
      <c r="A980" s="1">
        <v>0.55811481809999997</v>
      </c>
      <c r="B980" s="108">
        <v>66612.800000000003</v>
      </c>
    </row>
    <row r="981" spans="1:2">
      <c r="A981" s="1">
        <v>-1.615790694</v>
      </c>
      <c r="B981" s="108">
        <v>66612.800000000003</v>
      </c>
    </row>
    <row r="982" spans="1:2">
      <c r="A982" s="1">
        <v>-0.52000864970000005</v>
      </c>
      <c r="B982" s="108">
        <v>66618.394230000005</v>
      </c>
    </row>
    <row r="983" spans="1:2">
      <c r="A983" s="1">
        <v>-0.26388430330000001</v>
      </c>
      <c r="B983" s="108">
        <v>66630.60613</v>
      </c>
    </row>
    <row r="984" spans="1:2">
      <c r="A984" s="1">
        <v>1.2419884800000001</v>
      </c>
      <c r="B984" s="108">
        <v>66656.331879999998</v>
      </c>
    </row>
    <row r="985" spans="1:2">
      <c r="A985" s="1">
        <v>-2.9190300030000001E-2</v>
      </c>
      <c r="B985" s="108">
        <v>66659.399999999994</v>
      </c>
    </row>
    <row r="986" spans="1:2">
      <c r="A986" s="1">
        <v>-1.2300977799999999</v>
      </c>
      <c r="B986" s="108">
        <v>66659.399999999994</v>
      </c>
    </row>
    <row r="987" spans="1:2">
      <c r="A987" s="1">
        <v>-1.200236181</v>
      </c>
      <c r="B987" s="108">
        <v>66667.232409999997</v>
      </c>
    </row>
    <row r="988" spans="1:2">
      <c r="A988" s="1">
        <v>9.167660658E-2</v>
      </c>
      <c r="B988" s="108">
        <v>66685.392909999995</v>
      </c>
    </row>
    <row r="989" spans="1:2">
      <c r="A989" s="1">
        <v>-0.41633131499999998</v>
      </c>
      <c r="B989" s="108">
        <v>66698.994489999997</v>
      </c>
    </row>
    <row r="990" spans="1:2">
      <c r="A990" s="1">
        <v>-0.58184751609999996</v>
      </c>
      <c r="B990" s="108">
        <v>66705.925829999993</v>
      </c>
    </row>
    <row r="991" spans="1:2">
      <c r="A991" s="1">
        <v>-8.8551779640000002E-3</v>
      </c>
      <c r="B991" s="108">
        <v>66733.626669999998</v>
      </c>
    </row>
    <row r="992" spans="1:2">
      <c r="A992" s="1">
        <v>0.79364623160000003</v>
      </c>
      <c r="B992" s="108">
        <v>66743.668120000002</v>
      </c>
    </row>
    <row r="993" spans="1:2">
      <c r="A993" s="1">
        <v>-0.18697376460000001</v>
      </c>
      <c r="B993" s="108">
        <v>66748.5</v>
      </c>
    </row>
    <row r="994" spans="1:2">
      <c r="A994" s="1">
        <v>-0.76551313470000004</v>
      </c>
      <c r="B994" s="108">
        <v>66748.5</v>
      </c>
    </row>
    <row r="995" spans="1:2">
      <c r="A995" s="1">
        <v>-0.27265318389999998</v>
      </c>
      <c r="B995" s="108">
        <v>66753.876629999999</v>
      </c>
    </row>
    <row r="996" spans="1:2">
      <c r="A996" s="1">
        <v>-1.38575278</v>
      </c>
      <c r="B996" s="108">
        <v>66757.750620000006</v>
      </c>
    </row>
    <row r="997" spans="1:2">
      <c r="A997" s="1">
        <v>-1.8977041160000001</v>
      </c>
      <c r="B997" s="108">
        <v>66768.135590000005</v>
      </c>
    </row>
    <row r="998" spans="1:2">
      <c r="A998" s="1">
        <v>-0.61032170190000001</v>
      </c>
      <c r="B998" s="108">
        <v>66804.978470000002</v>
      </c>
    </row>
    <row r="999" spans="1:2">
      <c r="A999" s="1">
        <v>0.91031229469999997</v>
      </c>
      <c r="B999" s="108">
        <v>66840.534769999998</v>
      </c>
    </row>
    <row r="1000" spans="1:2">
      <c r="A1000" s="1">
        <v>-0.82920298189999997</v>
      </c>
      <c r="B1000" s="108">
        <v>66841.366829999999</v>
      </c>
    </row>
    <row r="1001" spans="1:2">
      <c r="A1001" s="1">
        <v>-0.58184751609999996</v>
      </c>
      <c r="B1001" s="108">
        <v>66844.297049999994</v>
      </c>
    </row>
    <row r="1002" spans="1:2">
      <c r="A1002" s="1">
        <v>-0.72122456089999998</v>
      </c>
      <c r="B1002" s="108">
        <v>66850.878270000001</v>
      </c>
    </row>
    <row r="1003" spans="1:2">
      <c r="A1003" s="1">
        <v>-0.2320056627</v>
      </c>
      <c r="B1003" s="108">
        <v>66856.085049999994</v>
      </c>
    </row>
    <row r="1004" spans="1:2">
      <c r="A1004" s="1">
        <v>-2.1617407270000002</v>
      </c>
      <c r="B1004" s="108">
        <v>66883.283580000003</v>
      </c>
    </row>
    <row r="1005" spans="1:2">
      <c r="A1005" s="1">
        <v>0.92131678829999997</v>
      </c>
      <c r="B1005" s="108">
        <v>66902</v>
      </c>
    </row>
    <row r="1006" spans="1:2">
      <c r="A1006" s="1">
        <v>-0.37751745930000002</v>
      </c>
      <c r="B1006" s="108">
        <v>66910.962440000003</v>
      </c>
    </row>
    <row r="1007" spans="1:2">
      <c r="A1007" s="1">
        <v>-0.80864832409999998</v>
      </c>
      <c r="B1007" s="108">
        <v>66919</v>
      </c>
    </row>
    <row r="1008" spans="1:2">
      <c r="A1008" s="1">
        <v>-1.0800100269999999</v>
      </c>
      <c r="B1008" s="108">
        <v>66919</v>
      </c>
    </row>
    <row r="1009" spans="1:2">
      <c r="A1009" s="1">
        <v>-8.7136584540000006E-2</v>
      </c>
      <c r="B1009" s="108">
        <v>66926.793390000006</v>
      </c>
    </row>
    <row r="1010" spans="1:2">
      <c r="A1010" s="1">
        <v>-0.64887190760000002</v>
      </c>
      <c r="B1010" s="108">
        <v>66933.62096</v>
      </c>
    </row>
    <row r="1011" spans="1:2">
      <c r="A1011" s="1">
        <v>0.89201696109999995</v>
      </c>
      <c r="B1011" s="108">
        <v>66971</v>
      </c>
    </row>
    <row r="1012" spans="1:2">
      <c r="A1012" s="1">
        <v>-0.23731876939999999</v>
      </c>
      <c r="B1012" s="108">
        <v>66993.121799999994</v>
      </c>
    </row>
    <row r="1013" spans="1:2">
      <c r="A1013" s="1">
        <v>-0.27265318389999998</v>
      </c>
      <c r="B1013" s="108">
        <v>67000</v>
      </c>
    </row>
    <row r="1014" spans="1:2">
      <c r="A1014" s="1">
        <v>-0.40434725490000001</v>
      </c>
      <c r="B1014" s="108">
        <v>67002.686570000005</v>
      </c>
    </row>
    <row r="1015" spans="1:2">
      <c r="A1015" s="1">
        <v>0.26834607620000001</v>
      </c>
      <c r="B1015" s="108">
        <v>67052.2</v>
      </c>
    </row>
    <row r="1016" spans="1:2">
      <c r="A1016" s="1">
        <v>9.6992557659999999E-3</v>
      </c>
      <c r="B1016" s="108">
        <v>67052.2</v>
      </c>
    </row>
    <row r="1017" spans="1:2">
      <c r="A1017" s="1">
        <v>-0.60296619809999996</v>
      </c>
      <c r="B1017" s="108">
        <v>67112.664499999999</v>
      </c>
    </row>
    <row r="1018" spans="1:2">
      <c r="A1018" s="1">
        <v>-0.99790801689999997</v>
      </c>
      <c r="B1018" s="108">
        <v>67121.51728</v>
      </c>
    </row>
    <row r="1019" spans="1:2">
      <c r="A1019" s="1">
        <v>-0.45687803809999999</v>
      </c>
      <c r="B1019" s="108">
        <v>67151.940300000002</v>
      </c>
    </row>
    <row r="1020" spans="1:2">
      <c r="A1020" s="1">
        <v>-1.1140813519999999</v>
      </c>
      <c r="B1020" s="108">
        <v>67206.304459999999</v>
      </c>
    </row>
    <row r="1021" spans="1:2">
      <c r="A1021" s="1">
        <v>-0.96314546619999997</v>
      </c>
      <c r="B1021" s="108">
        <v>67236.094769999996</v>
      </c>
    </row>
    <row r="1022" spans="1:2">
      <c r="A1022" s="1">
        <v>-1.570143799</v>
      </c>
      <c r="B1022" s="108">
        <v>67243</v>
      </c>
    </row>
    <row r="1023" spans="1:2">
      <c r="A1023" s="1">
        <v>-1.706418312</v>
      </c>
      <c r="B1023" s="108">
        <v>67243</v>
      </c>
    </row>
    <row r="1024" spans="1:2">
      <c r="A1024" s="1">
        <v>0.86249433369999995</v>
      </c>
      <c r="B1024" s="108">
        <v>67318.705589999998</v>
      </c>
    </row>
    <row r="1025" spans="1:2">
      <c r="A1025" s="1">
        <v>1.1557154059999999</v>
      </c>
      <c r="B1025" s="108">
        <v>67346</v>
      </c>
    </row>
    <row r="1026" spans="1:2">
      <c r="A1026" s="1">
        <v>0.83316143279999999</v>
      </c>
      <c r="B1026" s="108">
        <v>67372.159639999998</v>
      </c>
    </row>
    <row r="1027" spans="1:2">
      <c r="A1027" s="1">
        <v>0.83061569310000005</v>
      </c>
      <c r="B1027" s="108">
        <v>67646.23315</v>
      </c>
    </row>
    <row r="1028" spans="1:2">
      <c r="A1028" s="1">
        <v>1.3022145420000001E-2</v>
      </c>
      <c r="B1028" s="108">
        <v>67653</v>
      </c>
    </row>
    <row r="1029" spans="1:2">
      <c r="A1029" s="1">
        <v>-0.1056732048</v>
      </c>
      <c r="B1029" s="108">
        <v>67743.289929999999</v>
      </c>
    </row>
    <row r="1030" spans="1:2">
      <c r="A1030" s="1">
        <v>-1.1140813519999999</v>
      </c>
      <c r="B1030" s="108">
        <v>67743.289929999999</v>
      </c>
    </row>
    <row r="1031" spans="1:2">
      <c r="A1031" s="1">
        <v>-1.9056342980000001</v>
      </c>
      <c r="B1031" s="108">
        <v>67818.258019999994</v>
      </c>
    </row>
    <row r="1032" spans="1:2">
      <c r="A1032" s="1">
        <v>0.2868679106</v>
      </c>
      <c r="B1032" s="108">
        <v>67826.519100000005</v>
      </c>
    </row>
    <row r="1033" spans="1:2">
      <c r="A1033" s="1">
        <v>1.9175109130000001</v>
      </c>
      <c r="B1033" s="108">
        <v>67830</v>
      </c>
    </row>
    <row r="1034" spans="1:2">
      <c r="A1034" s="1">
        <v>-1.1419545</v>
      </c>
      <c r="B1034" s="108">
        <v>67865.394769999999</v>
      </c>
    </row>
    <row r="1035" spans="1:2">
      <c r="A1035" s="1">
        <v>-0.92043282940000004</v>
      </c>
      <c r="B1035" s="108">
        <v>67914.277419999999</v>
      </c>
    </row>
    <row r="1036" spans="1:2">
      <c r="A1036" s="1">
        <v>0.80411747960000002</v>
      </c>
      <c r="B1036" s="108">
        <v>67959</v>
      </c>
    </row>
    <row r="1037" spans="1:2">
      <c r="A1037" s="1">
        <v>-0.63185624559999998</v>
      </c>
      <c r="B1037" s="108">
        <v>68067.548290000006</v>
      </c>
    </row>
    <row r="1038" spans="1:2">
      <c r="A1038" s="1">
        <v>-0.41633131499999998</v>
      </c>
      <c r="B1038" s="108">
        <v>68196.90135</v>
      </c>
    </row>
    <row r="1039" spans="1:2">
      <c r="A1039" s="1">
        <v>-1.103355174</v>
      </c>
      <c r="B1039" s="108">
        <v>68379.035399999993</v>
      </c>
    </row>
    <row r="1040" spans="1:2">
      <c r="A1040" s="1">
        <v>-0.45513991129999998</v>
      </c>
      <c r="B1040" s="108">
        <v>68421.587379999997</v>
      </c>
    </row>
    <row r="1041" spans="1:2">
      <c r="A1041" s="1">
        <v>-1.6346658519999999</v>
      </c>
      <c r="B1041" s="108">
        <v>68427.778760000001</v>
      </c>
    </row>
    <row r="1042" spans="1:2">
      <c r="A1042" s="1">
        <v>0.3693425615</v>
      </c>
      <c r="B1042" s="108">
        <v>68449</v>
      </c>
    </row>
    <row r="1043" spans="1:2">
      <c r="A1043" s="1">
        <v>-0.57344468059999998</v>
      </c>
      <c r="B1043" s="108">
        <v>68504</v>
      </c>
    </row>
    <row r="1044" spans="1:2">
      <c r="A1044" s="1">
        <v>0.45356626249999998</v>
      </c>
      <c r="B1044" s="108">
        <v>68504</v>
      </c>
    </row>
    <row r="1045" spans="1:2">
      <c r="A1045" s="1">
        <v>-0.52443815930000004</v>
      </c>
      <c r="B1045" s="108">
        <v>68549.637170000002</v>
      </c>
    </row>
    <row r="1046" spans="1:2">
      <c r="A1046" s="1">
        <v>-1.161799349</v>
      </c>
      <c r="B1046" s="108">
        <v>68549.637170000002</v>
      </c>
    </row>
    <row r="1047" spans="1:2">
      <c r="A1047" s="1">
        <v>0.63604652390000005</v>
      </c>
      <c r="B1047" s="108">
        <v>68606</v>
      </c>
    </row>
    <row r="1048" spans="1:2">
      <c r="A1048" s="1">
        <v>-1.1036510289999999</v>
      </c>
      <c r="B1048" s="108">
        <v>68606</v>
      </c>
    </row>
    <row r="1049" spans="1:2">
      <c r="A1049" s="1">
        <v>1.5250949810000001E-2</v>
      </c>
      <c r="B1049" s="108">
        <v>68619</v>
      </c>
    </row>
    <row r="1050" spans="1:2">
      <c r="A1050" s="1">
        <v>-0.77807318869999997</v>
      </c>
      <c r="B1050" s="108">
        <v>68728</v>
      </c>
    </row>
    <row r="1051" spans="1:2">
      <c r="A1051" s="1">
        <v>-1.6570680040000001</v>
      </c>
      <c r="B1051" s="108">
        <v>68800</v>
      </c>
    </row>
    <row r="1052" spans="1:2">
      <c r="A1052" s="1">
        <v>0.19567545750000001</v>
      </c>
      <c r="B1052" s="108">
        <v>68865.405029999994</v>
      </c>
    </row>
    <row r="1053" spans="1:2">
      <c r="A1053" s="1">
        <v>0.44984357489999999</v>
      </c>
      <c r="B1053" s="108">
        <v>68933</v>
      </c>
    </row>
    <row r="1054" spans="1:2">
      <c r="A1054" s="1">
        <v>-0.33857578090000001</v>
      </c>
      <c r="B1054" s="108">
        <v>68953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80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10.83203125" defaultRowHeight="16"/>
  <cols>
    <col min="1" max="1" width="28.33203125" style="1" customWidth="1"/>
    <col min="2" max="2" width="10.33203125" style="1" customWidth="1"/>
    <col min="3" max="3" width="10.1640625" style="1" customWidth="1"/>
    <col min="4" max="4" width="10.1640625" style="31" customWidth="1"/>
    <col min="5" max="5" width="11.1640625" style="1" customWidth="1"/>
    <col min="6" max="6" width="18" style="1" customWidth="1"/>
    <col min="7" max="7" width="14.33203125" style="1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104" customWidth="1"/>
    <col min="12" max="12" width="11.83203125" style="91" customWidth="1"/>
    <col min="13" max="13" width="10.83203125" style="104"/>
    <col min="14" max="14" width="15" style="91" customWidth="1"/>
    <col min="15" max="15" width="10.83203125" style="103"/>
    <col min="16" max="16" width="14" style="91" customWidth="1"/>
    <col min="17" max="16384" width="10.83203125" style="5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0" t="s">
        <v>10</v>
      </c>
      <c r="L1" s="87" t="s">
        <v>14</v>
      </c>
      <c r="M1" s="80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24</v>
      </c>
      <c r="B2" s="1" t="s">
        <v>25</v>
      </c>
      <c r="C2" s="27">
        <v>66.047171032357483</v>
      </c>
      <c r="D2" s="28">
        <f>C2*1000</f>
        <v>66047.171032357481</v>
      </c>
      <c r="E2" s="1" t="s">
        <v>26</v>
      </c>
      <c r="F2" s="29">
        <v>10.055221120000002</v>
      </c>
      <c r="G2" s="30">
        <v>0</v>
      </c>
      <c r="H2" s="101">
        <f>(F2-10.86167864)/1.406572466</f>
        <v>-0.57334942883774376</v>
      </c>
      <c r="I2" s="3">
        <v>1.10776839078</v>
      </c>
      <c r="J2" s="88">
        <v>66000</v>
      </c>
      <c r="K2" s="92">
        <v>0.43197824112200001</v>
      </c>
      <c r="L2" s="90">
        <v>66000</v>
      </c>
      <c r="M2" s="92">
        <v>0.14219683293499999</v>
      </c>
      <c r="N2" s="90">
        <v>66100</v>
      </c>
      <c r="O2" s="102">
        <v>0.43197824112200001</v>
      </c>
      <c r="P2" s="90">
        <v>66050</v>
      </c>
    </row>
    <row r="3" spans="1:16">
      <c r="A3" s="1" t="s">
        <v>24</v>
      </c>
      <c r="B3" s="1" t="s">
        <v>25</v>
      </c>
      <c r="C3" s="27">
        <v>66.056548536209561</v>
      </c>
      <c r="D3" s="28">
        <f t="shared" ref="D3:D17" si="0">C3*1000</f>
        <v>66056.548536209564</v>
      </c>
      <c r="E3" s="1" t="s">
        <v>26</v>
      </c>
      <c r="F3" s="29">
        <v>10.245632430000002</v>
      </c>
      <c r="G3" s="30">
        <v>0.19041131</v>
      </c>
      <c r="H3" s="101">
        <f t="shared" ref="H3:H17" si="1">(F3-10.86167864)/1.406572466</f>
        <v>-0.43797687278203606</v>
      </c>
      <c r="I3" s="3">
        <v>0.90893206047800001</v>
      </c>
      <c r="J3" s="88">
        <v>66200</v>
      </c>
      <c r="K3" s="92">
        <v>1.23916846929</v>
      </c>
      <c r="L3" s="90">
        <v>66150</v>
      </c>
      <c r="M3" s="92">
        <v>0.19689815252100001</v>
      </c>
      <c r="N3" s="90">
        <v>66200</v>
      </c>
      <c r="O3" s="102">
        <v>0.66224846733599996</v>
      </c>
      <c r="P3" s="90">
        <v>66100</v>
      </c>
    </row>
    <row r="4" spans="1:16">
      <c r="A4" s="1" t="s">
        <v>24</v>
      </c>
      <c r="B4" s="1" t="s">
        <v>25</v>
      </c>
      <c r="C4" s="27">
        <v>66.067580893682589</v>
      </c>
      <c r="D4" s="28">
        <f t="shared" si="0"/>
        <v>66067.580893682592</v>
      </c>
      <c r="E4" s="1" t="s">
        <v>26</v>
      </c>
      <c r="F4" s="29">
        <v>11.270438520000001</v>
      </c>
      <c r="G4" s="30">
        <v>1.2152173999999984</v>
      </c>
      <c r="H4" s="101">
        <f t="shared" si="1"/>
        <v>0.29060705358638922</v>
      </c>
      <c r="I4" s="3">
        <v>9.7524744218500006E-2</v>
      </c>
      <c r="J4" s="88">
        <v>66400</v>
      </c>
      <c r="K4" s="92">
        <v>0.56156771082099999</v>
      </c>
      <c r="L4" s="90">
        <v>66300</v>
      </c>
      <c r="M4" s="92">
        <v>0.56156771082099999</v>
      </c>
      <c r="N4" s="90">
        <v>66300</v>
      </c>
    </row>
    <row r="5" spans="1:16">
      <c r="A5" s="1" t="s">
        <v>24</v>
      </c>
      <c r="B5" s="1" t="s">
        <v>25</v>
      </c>
      <c r="C5" s="27">
        <v>66.097368258859788</v>
      </c>
      <c r="D5" s="28">
        <f t="shared" si="0"/>
        <v>66097.368258859788</v>
      </c>
      <c r="E5" s="1" t="s">
        <v>26</v>
      </c>
      <c r="F5" s="29">
        <v>13.213428920000002</v>
      </c>
      <c r="G5" s="30">
        <v>3.1582077999999996</v>
      </c>
      <c r="H5" s="101">
        <f t="shared" si="1"/>
        <v>1.6719723560975797</v>
      </c>
      <c r="I5" s="3">
        <v>0.46619544724099998</v>
      </c>
      <c r="J5" s="88">
        <v>66600</v>
      </c>
      <c r="K5" s="92">
        <v>0.99469036151900003</v>
      </c>
      <c r="L5" s="90">
        <v>66750</v>
      </c>
      <c r="M5" s="92">
        <v>3.6176326651799998E-2</v>
      </c>
      <c r="N5" s="90">
        <v>66900</v>
      </c>
    </row>
    <row r="6" spans="1:16">
      <c r="A6" s="1" t="s">
        <v>24</v>
      </c>
      <c r="B6" s="1" t="s">
        <v>25</v>
      </c>
      <c r="C6" s="27">
        <v>66.104539291217264</v>
      </c>
      <c r="D6" s="28">
        <f t="shared" si="0"/>
        <v>66104.539291217268</v>
      </c>
      <c r="E6" s="1" t="s">
        <v>26</v>
      </c>
      <c r="F6" s="29">
        <v>11.470448670000003</v>
      </c>
      <c r="G6" s="30">
        <v>1.4152275500000009</v>
      </c>
      <c r="H6" s="101">
        <f t="shared" si="1"/>
        <v>0.43280388655070123</v>
      </c>
      <c r="I6" s="3">
        <v>0.58823977777699998</v>
      </c>
      <c r="J6" s="88">
        <v>66800</v>
      </c>
      <c r="K6" s="92">
        <v>3.6176326651799998E-2</v>
      </c>
      <c r="L6" s="90">
        <v>66900</v>
      </c>
    </row>
    <row r="7" spans="1:16">
      <c r="A7" s="1" t="s">
        <v>24</v>
      </c>
      <c r="B7" s="1" t="s">
        <v>25</v>
      </c>
      <c r="C7" s="27">
        <v>66.116123266563946</v>
      </c>
      <c r="D7" s="28">
        <f t="shared" si="0"/>
        <v>66116.12326656394</v>
      </c>
      <c r="E7" s="1" t="s">
        <v>26</v>
      </c>
      <c r="F7" s="29">
        <v>11.350428000000001</v>
      </c>
      <c r="G7" s="30">
        <v>1.2952068799999985</v>
      </c>
      <c r="H7" s="101">
        <f t="shared" si="1"/>
        <v>0.34747542114904562</v>
      </c>
      <c r="I7" s="3"/>
      <c r="J7" s="88"/>
    </row>
    <row r="8" spans="1:16">
      <c r="A8" s="1" t="s">
        <v>24</v>
      </c>
      <c r="B8" s="1" t="s">
        <v>25</v>
      </c>
      <c r="C8" s="27">
        <v>66.150875192604005</v>
      </c>
      <c r="D8" s="28">
        <f t="shared" si="0"/>
        <v>66150.875192603999</v>
      </c>
      <c r="E8" s="1" t="s">
        <v>26</v>
      </c>
      <c r="F8" s="29">
        <v>13.302830520000002</v>
      </c>
      <c r="G8" s="30">
        <v>3.2476094</v>
      </c>
      <c r="H8" s="101">
        <f t="shared" si="1"/>
        <v>1.7355322523425558</v>
      </c>
      <c r="I8" s="3"/>
      <c r="J8" s="88"/>
    </row>
    <row r="9" spans="1:16">
      <c r="A9" s="1" t="s">
        <v>24</v>
      </c>
      <c r="B9" s="1" t="s">
        <v>25</v>
      </c>
      <c r="C9" s="27">
        <v>66.177352850539293</v>
      </c>
      <c r="D9" s="28">
        <f t="shared" si="0"/>
        <v>66177.35285053929</v>
      </c>
      <c r="E9" s="1" t="s">
        <v>26</v>
      </c>
      <c r="F9" s="29">
        <v>12.748927480000003</v>
      </c>
      <c r="G9" s="30">
        <v>2.6937063600000002</v>
      </c>
      <c r="H9" s="101">
        <f t="shared" si="1"/>
        <v>1.3417359472185226</v>
      </c>
      <c r="I9" s="3"/>
      <c r="J9" s="88"/>
    </row>
    <row r="10" spans="1:16">
      <c r="A10" s="1" t="s">
        <v>24</v>
      </c>
      <c r="B10" s="1" t="s">
        <v>25</v>
      </c>
      <c r="C10" s="27">
        <v>66.260095531587055</v>
      </c>
      <c r="D10" s="28">
        <f t="shared" si="0"/>
        <v>66260.095531587052</v>
      </c>
      <c r="E10" s="1" t="s">
        <v>26</v>
      </c>
      <c r="F10" s="29">
        <v>11.634992480000003</v>
      </c>
      <c r="G10" s="30">
        <v>1.5797713600000005</v>
      </c>
      <c r="H10" s="101">
        <f t="shared" si="1"/>
        <v>0.54978599303820275</v>
      </c>
      <c r="I10" s="3"/>
      <c r="J10" s="88"/>
    </row>
    <row r="11" spans="1:16">
      <c r="A11" s="1" t="s">
        <v>24</v>
      </c>
      <c r="B11" s="1" t="s">
        <v>25</v>
      </c>
      <c r="C11" s="27">
        <v>66.342838212634817</v>
      </c>
      <c r="D11" s="28">
        <f t="shared" si="0"/>
        <v>66342.838212634815</v>
      </c>
      <c r="E11" s="1" t="s">
        <v>26</v>
      </c>
      <c r="F11" s="29">
        <v>10.055221120000002</v>
      </c>
      <c r="G11" s="30">
        <v>0</v>
      </c>
      <c r="H11" s="101">
        <f t="shared" si="1"/>
        <v>-0.57334942883774376</v>
      </c>
      <c r="I11" s="3"/>
      <c r="J11" s="88"/>
    </row>
    <row r="12" spans="1:16">
      <c r="A12" s="1" t="s">
        <v>24</v>
      </c>
      <c r="B12" s="1" t="s">
        <v>25</v>
      </c>
      <c r="C12" s="27">
        <v>66.425580893682579</v>
      </c>
      <c r="D12" s="28">
        <f t="shared" si="0"/>
        <v>66425.580893682578</v>
      </c>
      <c r="E12" s="1" t="s">
        <v>26</v>
      </c>
      <c r="F12" s="29">
        <v>9.7808698800000027</v>
      </c>
      <c r="G12" s="30">
        <v>-0.27435123999999966</v>
      </c>
      <c r="H12" s="101">
        <f t="shared" si="1"/>
        <v>-0.76839891731536025</v>
      </c>
    </row>
    <row r="13" spans="1:16">
      <c r="A13" s="1" t="s">
        <v>24</v>
      </c>
      <c r="B13" s="1" t="s">
        <v>25</v>
      </c>
      <c r="C13" s="27">
        <v>66.60154699537749</v>
      </c>
      <c r="D13" s="28">
        <f t="shared" si="0"/>
        <v>66601.546995377488</v>
      </c>
      <c r="E13" s="1" t="s">
        <v>26</v>
      </c>
      <c r="F13" s="29">
        <v>9.6791530700000017</v>
      </c>
      <c r="G13" s="30">
        <v>-0.37606805000000065</v>
      </c>
      <c r="H13" s="101">
        <f t="shared" si="1"/>
        <v>-0.84071428851643493</v>
      </c>
    </row>
    <row r="14" spans="1:16">
      <c r="A14" s="1" t="s">
        <v>24</v>
      </c>
      <c r="B14" s="1" t="s">
        <v>25</v>
      </c>
      <c r="C14" s="27">
        <v>66.68539291217256</v>
      </c>
      <c r="D14" s="28">
        <f t="shared" si="0"/>
        <v>66685.392912172567</v>
      </c>
      <c r="E14" s="1" t="s">
        <v>26</v>
      </c>
      <c r="F14" s="29">
        <v>10.990628430000003</v>
      </c>
      <c r="G14" s="30">
        <v>0.93540731000000044</v>
      </c>
      <c r="H14" s="101">
        <f t="shared" si="1"/>
        <v>9.1676606159304425E-2</v>
      </c>
    </row>
    <row r="15" spans="1:16">
      <c r="A15" s="1" t="s">
        <v>24</v>
      </c>
      <c r="B15" s="1" t="s">
        <v>25</v>
      </c>
      <c r="C15" s="27">
        <v>66.768135593220322</v>
      </c>
      <c r="D15" s="28">
        <f t="shared" si="0"/>
        <v>66768.135593220315</v>
      </c>
      <c r="E15" s="1" t="s">
        <v>26</v>
      </c>
      <c r="F15" s="29">
        <v>8.1924202800000021</v>
      </c>
      <c r="G15" s="30">
        <v>-1.8628008400000002</v>
      </c>
      <c r="H15" s="101">
        <f t="shared" si="1"/>
        <v>-1.8977041172935891</v>
      </c>
    </row>
    <row r="16" spans="1:16">
      <c r="A16" s="1" t="s">
        <v>24</v>
      </c>
      <c r="B16" s="1" t="s">
        <v>25</v>
      </c>
      <c r="C16" s="27">
        <v>66.850878274268084</v>
      </c>
      <c r="D16" s="28">
        <f t="shared" si="0"/>
        <v>66850.878274268078</v>
      </c>
      <c r="E16" s="1" t="s">
        <v>26</v>
      </c>
      <c r="F16" s="29">
        <v>9.8472240300000013</v>
      </c>
      <c r="G16" s="30">
        <v>-0.20799709000000099</v>
      </c>
      <c r="H16" s="101">
        <f t="shared" si="1"/>
        <v>-0.72122456149372527</v>
      </c>
    </row>
    <row r="17" spans="1:9">
      <c r="A17" s="1" t="s">
        <v>24</v>
      </c>
      <c r="B17" s="1" t="s">
        <v>25</v>
      </c>
      <c r="C17" s="27">
        <v>66.933620955315845</v>
      </c>
      <c r="D17" s="28">
        <f t="shared" si="0"/>
        <v>66933.620955315841</v>
      </c>
      <c r="E17" s="1" t="s">
        <v>26</v>
      </c>
      <c r="F17" s="29">
        <v>9.9489932800000016</v>
      </c>
      <c r="G17" s="30">
        <v>-0.10622784000000074</v>
      </c>
      <c r="H17" s="101">
        <f t="shared" si="1"/>
        <v>-0.64887190817511531</v>
      </c>
    </row>
    <row r="18" spans="1:9">
      <c r="C18" s="27"/>
      <c r="F18" s="1">
        <f>AVERAGE(F2:F17)</f>
        <v>10.861678639375002</v>
      </c>
      <c r="G18" s="30"/>
    </row>
    <row r="19" spans="1:9">
      <c r="C19" s="27"/>
      <c r="F19" s="1">
        <f>STDEV(F2:F17)</f>
        <v>1.4065724662931316</v>
      </c>
      <c r="G19" s="30"/>
    </row>
    <row r="20" spans="1:9">
      <c r="C20" s="27"/>
      <c r="F20" s="30"/>
      <c r="G20" s="30"/>
    </row>
    <row r="21" spans="1:9">
      <c r="C21" s="27"/>
      <c r="F21" s="30"/>
      <c r="G21" s="30"/>
    </row>
    <row r="22" spans="1:9">
      <c r="C22" s="27"/>
      <c r="F22" s="30"/>
      <c r="G22" s="30"/>
      <c r="I22" s="30"/>
    </row>
    <row r="23" spans="1:9">
      <c r="C23" s="27"/>
      <c r="F23" s="30"/>
      <c r="G23" s="30"/>
      <c r="I23" s="30"/>
    </row>
    <row r="24" spans="1:9">
      <c r="C24" s="27"/>
      <c r="F24" s="30"/>
      <c r="G24" s="30"/>
      <c r="I24" s="30"/>
    </row>
    <row r="25" spans="1:9">
      <c r="C25" s="27"/>
      <c r="F25" s="30"/>
      <c r="G25" s="30"/>
      <c r="I25" s="30"/>
    </row>
    <row r="26" spans="1:9">
      <c r="C26" s="27"/>
      <c r="F26" s="30"/>
      <c r="G26" s="30"/>
      <c r="I26" s="30"/>
    </row>
    <row r="27" spans="1:9">
      <c r="C27" s="27"/>
      <c r="F27" s="30"/>
      <c r="G27" s="30"/>
      <c r="I27" s="30"/>
    </row>
    <row r="28" spans="1:9">
      <c r="C28" s="27"/>
      <c r="F28" s="30"/>
      <c r="G28" s="30"/>
      <c r="I28" s="30"/>
    </row>
    <row r="29" spans="1:9">
      <c r="C29" s="27"/>
      <c r="F29" s="30"/>
      <c r="G29" s="30"/>
      <c r="I29" s="30"/>
    </row>
    <row r="30" spans="1:9">
      <c r="C30" s="27"/>
      <c r="F30" s="30"/>
      <c r="G30" s="30"/>
      <c r="I30" s="30"/>
    </row>
    <row r="31" spans="1:9">
      <c r="C31" s="27"/>
      <c r="F31" s="30"/>
      <c r="G31" s="30"/>
      <c r="I31" s="30"/>
    </row>
    <row r="32" spans="1:9">
      <c r="C32" s="27"/>
      <c r="F32" s="30"/>
      <c r="G32" s="30"/>
      <c r="I32" s="30"/>
    </row>
    <row r="33" spans="3:9">
      <c r="C33" s="27"/>
      <c r="F33" s="30"/>
      <c r="G33" s="30"/>
      <c r="I33" s="30"/>
    </row>
    <row r="34" spans="3:9">
      <c r="C34" s="27"/>
      <c r="F34" s="30"/>
      <c r="G34" s="30"/>
      <c r="I34" s="30"/>
    </row>
    <row r="35" spans="3:9">
      <c r="C35" s="27"/>
      <c r="F35" s="30"/>
      <c r="G35" s="30"/>
      <c r="I35" s="30"/>
    </row>
    <row r="36" spans="3:9">
      <c r="C36" s="27"/>
      <c r="F36" s="30"/>
      <c r="G36" s="30"/>
      <c r="I36" s="30"/>
    </row>
    <row r="37" spans="3:9">
      <c r="C37" s="27"/>
      <c r="F37" s="30"/>
      <c r="G37" s="30"/>
      <c r="I37" s="30"/>
    </row>
    <row r="38" spans="3:9">
      <c r="C38" s="27"/>
      <c r="F38" s="30"/>
      <c r="G38" s="30"/>
      <c r="I38" s="30"/>
    </row>
    <row r="39" spans="3:9">
      <c r="C39" s="27"/>
      <c r="F39" s="30"/>
      <c r="G39" s="30"/>
      <c r="I39" s="30"/>
    </row>
    <row r="40" spans="3:9">
      <c r="C40" s="27"/>
      <c r="F40" s="30"/>
      <c r="G40" s="30"/>
      <c r="I40" s="30"/>
    </row>
    <row r="41" spans="3:9">
      <c r="C41" s="27"/>
      <c r="F41" s="30"/>
      <c r="G41" s="30"/>
      <c r="I41" s="30"/>
    </row>
    <row r="42" spans="3:9">
      <c r="C42" s="27"/>
      <c r="F42" s="30"/>
      <c r="G42" s="30"/>
      <c r="I42" s="30"/>
    </row>
    <row r="43" spans="3:9">
      <c r="C43" s="27"/>
      <c r="F43" s="30"/>
      <c r="G43" s="30"/>
      <c r="I43" s="30"/>
    </row>
    <row r="44" spans="3:9">
      <c r="C44" s="27"/>
      <c r="F44" s="30"/>
      <c r="G44" s="30"/>
      <c r="I44" s="30"/>
    </row>
    <row r="45" spans="3:9">
      <c r="C45" s="27"/>
      <c r="F45" s="30"/>
      <c r="G45" s="30"/>
      <c r="I45" s="30"/>
    </row>
    <row r="46" spans="3:9">
      <c r="C46" s="27"/>
      <c r="F46" s="30"/>
      <c r="G46" s="30"/>
      <c r="I46" s="30"/>
    </row>
    <row r="47" spans="3:9">
      <c r="C47" s="27"/>
      <c r="F47" s="30"/>
      <c r="G47" s="30"/>
      <c r="I47" s="30"/>
    </row>
    <row r="48" spans="3:9">
      <c r="C48" s="27"/>
      <c r="F48" s="30"/>
      <c r="G48" s="30"/>
      <c r="I48" s="30"/>
    </row>
    <row r="49" spans="3:9">
      <c r="C49" s="27"/>
      <c r="F49" s="30"/>
      <c r="G49" s="30"/>
      <c r="I49" s="30"/>
    </row>
    <row r="50" spans="3:9">
      <c r="C50" s="32"/>
      <c r="D50" s="33"/>
      <c r="F50" s="30"/>
      <c r="G50" s="30"/>
      <c r="I50" s="30"/>
    </row>
    <row r="51" spans="3:9">
      <c r="C51" s="32"/>
      <c r="D51" s="33"/>
      <c r="F51" s="30"/>
      <c r="G51" s="30"/>
      <c r="I51" s="30"/>
    </row>
    <row r="52" spans="3:9">
      <c r="C52" s="32"/>
      <c r="D52" s="33"/>
      <c r="F52" s="30"/>
      <c r="G52" s="30"/>
      <c r="I52" s="30"/>
    </row>
    <row r="53" spans="3:9">
      <c r="C53" s="32"/>
      <c r="D53" s="33"/>
      <c r="F53" s="30"/>
      <c r="G53" s="30"/>
      <c r="I53" s="30"/>
    </row>
    <row r="54" spans="3:9">
      <c r="C54" s="32"/>
      <c r="D54" s="33"/>
      <c r="F54" s="30"/>
      <c r="G54" s="30"/>
      <c r="I54" s="30"/>
    </row>
    <row r="55" spans="3:9">
      <c r="C55" s="32"/>
      <c r="D55" s="33"/>
      <c r="F55" s="30"/>
      <c r="G55" s="30"/>
      <c r="I55" s="30"/>
    </row>
    <row r="56" spans="3:9">
      <c r="C56" s="32"/>
      <c r="D56" s="33"/>
      <c r="F56" s="30"/>
      <c r="G56" s="30"/>
      <c r="I56" s="30"/>
    </row>
    <row r="57" spans="3:9">
      <c r="C57" s="32"/>
      <c r="D57" s="33"/>
      <c r="F57" s="30"/>
      <c r="G57" s="30"/>
      <c r="I57" s="30"/>
    </row>
    <row r="58" spans="3:9">
      <c r="C58" s="32"/>
      <c r="D58" s="33"/>
      <c r="F58" s="30"/>
      <c r="G58" s="30"/>
      <c r="I58" s="30"/>
    </row>
    <row r="59" spans="3:9">
      <c r="C59" s="32"/>
      <c r="D59" s="33"/>
      <c r="F59" s="30"/>
      <c r="G59" s="30"/>
      <c r="I59" s="30"/>
    </row>
    <row r="60" spans="3:9">
      <c r="C60" s="32"/>
      <c r="D60" s="33"/>
      <c r="F60" s="30"/>
      <c r="G60" s="30"/>
      <c r="I60" s="30"/>
    </row>
    <row r="61" spans="3:9">
      <c r="C61" s="32"/>
      <c r="D61" s="33"/>
      <c r="F61" s="30"/>
      <c r="G61" s="30"/>
      <c r="I61" s="30"/>
    </row>
    <row r="62" spans="3:9">
      <c r="C62" s="32"/>
      <c r="D62" s="33"/>
      <c r="F62" s="30"/>
      <c r="G62" s="30"/>
      <c r="I62" s="30"/>
    </row>
    <row r="63" spans="3:9">
      <c r="C63" s="32"/>
      <c r="D63" s="33"/>
      <c r="F63" s="30"/>
      <c r="G63" s="30"/>
      <c r="I63" s="30"/>
    </row>
    <row r="64" spans="3:9">
      <c r="C64" s="32"/>
      <c r="D64" s="33"/>
      <c r="F64" s="30"/>
      <c r="G64" s="30"/>
      <c r="I64" s="30"/>
    </row>
    <row r="65" spans="3:9">
      <c r="C65" s="32"/>
      <c r="D65" s="33"/>
      <c r="F65" s="30"/>
      <c r="G65" s="30"/>
      <c r="I65" s="30"/>
    </row>
    <row r="66" spans="3:9">
      <c r="C66" s="32"/>
      <c r="D66" s="33"/>
      <c r="F66" s="30"/>
      <c r="G66" s="30"/>
      <c r="I66" s="30"/>
    </row>
    <row r="67" spans="3:9">
      <c r="C67" s="32"/>
      <c r="D67" s="33"/>
      <c r="F67" s="30"/>
      <c r="G67" s="30"/>
      <c r="I67" s="30"/>
    </row>
    <row r="68" spans="3:9">
      <c r="C68" s="32"/>
      <c r="D68" s="33"/>
      <c r="F68" s="30"/>
      <c r="G68" s="30"/>
      <c r="I68" s="30"/>
    </row>
    <row r="69" spans="3:9">
      <c r="C69" s="32"/>
      <c r="D69" s="33"/>
      <c r="F69" s="30"/>
      <c r="G69" s="30"/>
      <c r="I69" s="30"/>
    </row>
    <row r="70" spans="3:9">
      <c r="C70" s="32"/>
      <c r="D70" s="33"/>
      <c r="F70" s="30"/>
      <c r="G70" s="30"/>
      <c r="I70" s="30"/>
    </row>
    <row r="71" spans="3:9">
      <c r="C71" s="32"/>
      <c r="D71" s="33"/>
      <c r="F71" s="30"/>
      <c r="G71" s="30"/>
      <c r="I71" s="30"/>
    </row>
    <row r="72" spans="3:9">
      <c r="C72" s="32"/>
      <c r="D72" s="33"/>
      <c r="F72" s="30"/>
      <c r="G72" s="30"/>
      <c r="I72" s="30"/>
    </row>
    <row r="73" spans="3:9">
      <c r="C73" s="32"/>
      <c r="D73" s="33"/>
      <c r="F73" s="30"/>
      <c r="G73" s="30"/>
      <c r="I73" s="30"/>
    </row>
    <row r="74" spans="3:9">
      <c r="C74" s="32"/>
      <c r="D74" s="33"/>
      <c r="F74" s="30"/>
      <c r="G74" s="30"/>
      <c r="I74" s="30"/>
    </row>
    <row r="75" spans="3:9">
      <c r="C75" s="32"/>
      <c r="D75" s="33"/>
      <c r="F75" s="30"/>
      <c r="G75" s="30"/>
      <c r="I75" s="30"/>
    </row>
    <row r="76" spans="3:9">
      <c r="C76" s="32"/>
      <c r="D76" s="33"/>
      <c r="F76" s="30"/>
      <c r="G76" s="30"/>
      <c r="I76" s="30"/>
    </row>
    <row r="77" spans="3:9">
      <c r="C77" s="32"/>
      <c r="D77" s="33"/>
      <c r="F77" s="30"/>
      <c r="G77" s="30"/>
      <c r="I77" s="30"/>
    </row>
    <row r="78" spans="3:9">
      <c r="C78" s="32"/>
      <c r="D78" s="33"/>
      <c r="F78" s="30"/>
      <c r="G78" s="30"/>
      <c r="I78" s="30"/>
    </row>
    <row r="79" spans="3:9">
      <c r="C79" s="32"/>
      <c r="D79" s="33"/>
      <c r="F79" s="30"/>
      <c r="G79" s="30"/>
      <c r="I79" s="30"/>
    </row>
    <row r="80" spans="3:9">
      <c r="C80" s="32"/>
      <c r="D80" s="33"/>
      <c r="F80" s="30"/>
      <c r="G80" s="30"/>
      <c r="I80" s="30"/>
    </row>
    <row r="81" spans="3:9">
      <c r="C81" s="32"/>
      <c r="D81" s="33"/>
      <c r="F81" s="30"/>
      <c r="G81" s="30"/>
      <c r="I81" s="30"/>
    </row>
    <row r="82" spans="3:9">
      <c r="C82" s="32"/>
      <c r="D82" s="33"/>
      <c r="F82" s="30"/>
      <c r="G82" s="30"/>
      <c r="I82" s="30"/>
    </row>
    <row r="83" spans="3:9">
      <c r="C83" s="32"/>
      <c r="D83" s="33"/>
      <c r="F83" s="30"/>
      <c r="G83" s="30"/>
      <c r="I83" s="30"/>
    </row>
    <row r="84" spans="3:9">
      <c r="C84" s="32"/>
      <c r="D84" s="33"/>
      <c r="F84" s="30"/>
      <c r="G84" s="30"/>
      <c r="I84" s="30"/>
    </row>
    <row r="85" spans="3:9">
      <c r="C85" s="32"/>
      <c r="D85" s="33"/>
      <c r="F85" s="30"/>
      <c r="G85" s="30"/>
      <c r="I85" s="30"/>
    </row>
    <row r="86" spans="3:9">
      <c r="C86" s="32"/>
      <c r="D86" s="33"/>
      <c r="F86" s="30"/>
      <c r="G86" s="30"/>
      <c r="I86" s="30"/>
    </row>
    <row r="87" spans="3:9">
      <c r="C87" s="32"/>
      <c r="D87" s="33"/>
      <c r="F87" s="30"/>
      <c r="G87" s="30"/>
      <c r="I87" s="30"/>
    </row>
    <row r="88" spans="3:9">
      <c r="C88" s="32"/>
      <c r="D88" s="33"/>
      <c r="F88" s="30"/>
      <c r="G88" s="30"/>
      <c r="I88" s="30"/>
    </row>
    <row r="89" spans="3:9">
      <c r="C89" s="32"/>
      <c r="D89" s="33"/>
      <c r="F89" s="30"/>
      <c r="G89" s="30"/>
      <c r="I89" s="30"/>
    </row>
    <row r="90" spans="3:9">
      <c r="C90" s="32"/>
      <c r="D90" s="33"/>
      <c r="F90" s="30"/>
      <c r="G90" s="30"/>
      <c r="I90" s="30"/>
    </row>
    <row r="91" spans="3:9">
      <c r="C91" s="32"/>
      <c r="D91" s="33"/>
      <c r="F91" s="30"/>
      <c r="G91" s="30"/>
      <c r="I91" s="30"/>
    </row>
    <row r="92" spans="3:9">
      <c r="C92" s="32"/>
      <c r="D92" s="33"/>
      <c r="F92" s="30"/>
      <c r="G92" s="30"/>
      <c r="I92" s="30"/>
    </row>
    <row r="93" spans="3:9">
      <c r="C93" s="32"/>
      <c r="D93" s="33"/>
      <c r="F93" s="30"/>
      <c r="G93" s="30"/>
      <c r="I93" s="30"/>
    </row>
    <row r="94" spans="3:9">
      <c r="C94" s="32"/>
      <c r="D94" s="33"/>
      <c r="F94" s="30"/>
      <c r="G94" s="30"/>
      <c r="I94" s="30"/>
    </row>
    <row r="95" spans="3:9">
      <c r="C95" s="32"/>
      <c r="D95" s="33"/>
      <c r="F95" s="30"/>
      <c r="G95" s="30"/>
      <c r="I95" s="30"/>
    </row>
    <row r="96" spans="3:9">
      <c r="C96" s="32"/>
      <c r="D96" s="33"/>
      <c r="F96" s="30"/>
      <c r="G96" s="30"/>
      <c r="I96" s="30"/>
    </row>
    <row r="97" spans="3:9">
      <c r="C97" s="32"/>
      <c r="D97" s="33"/>
      <c r="F97" s="30"/>
      <c r="G97" s="30"/>
      <c r="I97" s="30"/>
    </row>
    <row r="98" spans="3:9">
      <c r="C98" s="32"/>
      <c r="D98" s="33"/>
      <c r="F98" s="30"/>
      <c r="G98" s="30"/>
      <c r="I98" s="30"/>
    </row>
    <row r="99" spans="3:9">
      <c r="C99" s="32"/>
      <c r="D99" s="33"/>
      <c r="F99" s="30"/>
      <c r="G99" s="30"/>
      <c r="I99" s="30"/>
    </row>
    <row r="100" spans="3:9">
      <c r="C100" s="32"/>
      <c r="D100" s="33"/>
      <c r="F100" s="30"/>
      <c r="G100" s="30"/>
      <c r="I100" s="30"/>
    </row>
    <row r="101" spans="3:9">
      <c r="C101" s="32"/>
      <c r="D101" s="33"/>
      <c r="F101" s="30"/>
      <c r="G101" s="30"/>
      <c r="I101" s="30"/>
    </row>
    <row r="102" spans="3:9">
      <c r="C102" s="32"/>
      <c r="D102" s="33"/>
      <c r="F102" s="30"/>
      <c r="G102" s="30"/>
      <c r="I102" s="30"/>
    </row>
    <row r="103" spans="3:9">
      <c r="C103" s="32"/>
      <c r="D103" s="33"/>
      <c r="F103" s="30"/>
      <c r="G103" s="30"/>
      <c r="I103" s="30"/>
    </row>
    <row r="104" spans="3:9">
      <c r="C104" s="32"/>
      <c r="D104" s="33"/>
      <c r="F104" s="30"/>
      <c r="G104" s="30"/>
      <c r="I104" s="30"/>
    </row>
    <row r="105" spans="3:9">
      <c r="C105" s="32"/>
      <c r="D105" s="33"/>
      <c r="F105" s="30"/>
      <c r="G105" s="30"/>
      <c r="I105" s="30"/>
    </row>
    <row r="106" spans="3:9">
      <c r="C106" s="32"/>
      <c r="D106" s="33"/>
      <c r="F106" s="30"/>
      <c r="G106" s="30"/>
      <c r="I106" s="30"/>
    </row>
    <row r="107" spans="3:9">
      <c r="C107" s="32"/>
      <c r="D107" s="33"/>
      <c r="F107" s="30"/>
      <c r="G107" s="30"/>
      <c r="I107" s="30"/>
    </row>
    <row r="108" spans="3:9">
      <c r="C108" s="32"/>
      <c r="D108" s="33"/>
      <c r="F108" s="30"/>
      <c r="G108" s="30"/>
      <c r="I108" s="30"/>
    </row>
    <row r="109" spans="3:9">
      <c r="C109" s="32"/>
      <c r="D109" s="33"/>
      <c r="F109" s="30"/>
      <c r="G109" s="30"/>
      <c r="I109" s="30"/>
    </row>
    <row r="110" spans="3:9">
      <c r="C110" s="32"/>
      <c r="D110" s="33"/>
      <c r="F110" s="30"/>
      <c r="G110" s="30"/>
      <c r="I110" s="30"/>
    </row>
    <row r="111" spans="3:9">
      <c r="C111" s="32"/>
      <c r="D111" s="33"/>
      <c r="F111" s="30"/>
      <c r="G111" s="30"/>
      <c r="I111" s="30"/>
    </row>
    <row r="112" spans="3:9">
      <c r="C112" s="32"/>
      <c r="D112" s="33"/>
      <c r="F112" s="30"/>
      <c r="G112" s="30"/>
      <c r="I112" s="30"/>
    </row>
    <row r="113" spans="3:9">
      <c r="C113" s="32"/>
      <c r="D113" s="33"/>
      <c r="F113" s="30"/>
      <c r="G113" s="30"/>
      <c r="I113" s="30"/>
    </row>
    <row r="114" spans="3:9">
      <c r="C114" s="32"/>
      <c r="D114" s="33"/>
      <c r="F114" s="30"/>
      <c r="G114" s="30"/>
      <c r="I114" s="30"/>
    </row>
    <row r="115" spans="3:9">
      <c r="C115" s="32"/>
      <c r="D115" s="33"/>
      <c r="F115" s="30"/>
      <c r="G115" s="30"/>
      <c r="I115" s="30"/>
    </row>
    <row r="116" spans="3:9">
      <c r="C116" s="32"/>
      <c r="D116" s="33"/>
      <c r="F116" s="30"/>
      <c r="G116" s="30"/>
      <c r="I116" s="30"/>
    </row>
    <row r="117" spans="3:9">
      <c r="C117" s="32"/>
      <c r="D117" s="33"/>
      <c r="F117" s="30"/>
      <c r="G117" s="30"/>
      <c r="I117" s="30"/>
    </row>
    <row r="118" spans="3:9">
      <c r="C118" s="32"/>
      <c r="D118" s="33"/>
      <c r="F118" s="30"/>
      <c r="G118" s="30"/>
      <c r="I118" s="30"/>
    </row>
    <row r="119" spans="3:9">
      <c r="C119" s="32"/>
      <c r="D119" s="33"/>
      <c r="F119" s="30"/>
      <c r="G119" s="30"/>
      <c r="I119" s="30"/>
    </row>
    <row r="120" spans="3:9">
      <c r="C120" s="32"/>
      <c r="D120" s="33"/>
      <c r="F120" s="30"/>
      <c r="G120" s="30"/>
      <c r="I120" s="30"/>
    </row>
    <row r="121" spans="3:9">
      <c r="C121" s="32"/>
      <c r="D121" s="33"/>
      <c r="F121" s="30"/>
      <c r="G121" s="30"/>
      <c r="I121" s="30"/>
    </row>
    <row r="122" spans="3:9">
      <c r="C122" s="32"/>
      <c r="D122" s="33"/>
      <c r="F122" s="30"/>
      <c r="G122" s="30"/>
      <c r="I122" s="30"/>
    </row>
    <row r="123" spans="3:9">
      <c r="C123" s="32"/>
      <c r="D123" s="33"/>
      <c r="F123" s="30"/>
      <c r="G123" s="30"/>
      <c r="I123" s="30"/>
    </row>
    <row r="124" spans="3:9">
      <c r="C124" s="32"/>
      <c r="D124" s="33"/>
      <c r="F124" s="30"/>
      <c r="G124" s="30"/>
      <c r="I124" s="30"/>
    </row>
    <row r="125" spans="3:9">
      <c r="C125" s="32"/>
      <c r="D125" s="33"/>
      <c r="F125" s="30"/>
      <c r="G125" s="30"/>
      <c r="I125" s="30"/>
    </row>
    <row r="126" spans="3:9">
      <c r="C126" s="32"/>
      <c r="D126" s="33"/>
      <c r="F126" s="30"/>
      <c r="G126" s="30"/>
      <c r="I126" s="30"/>
    </row>
    <row r="127" spans="3:9">
      <c r="C127" s="32"/>
      <c r="D127" s="33"/>
      <c r="F127" s="30"/>
      <c r="G127" s="30"/>
      <c r="I127" s="30"/>
    </row>
    <row r="128" spans="3:9">
      <c r="C128" s="32"/>
      <c r="D128" s="33"/>
      <c r="F128" s="30"/>
      <c r="G128" s="30"/>
      <c r="I128" s="30"/>
    </row>
    <row r="129" spans="3:9">
      <c r="C129" s="32"/>
      <c r="D129" s="33"/>
      <c r="F129" s="30"/>
      <c r="G129" s="30"/>
      <c r="I129" s="30"/>
    </row>
    <row r="130" spans="3:9">
      <c r="C130" s="32"/>
      <c r="D130" s="33"/>
      <c r="F130" s="30"/>
      <c r="G130" s="30"/>
      <c r="I130" s="30"/>
    </row>
    <row r="131" spans="3:9">
      <c r="C131" s="32"/>
      <c r="D131" s="33"/>
      <c r="F131" s="30"/>
      <c r="G131" s="30"/>
      <c r="I131" s="30"/>
    </row>
    <row r="132" spans="3:9">
      <c r="C132" s="32"/>
      <c r="D132" s="33"/>
      <c r="F132" s="30"/>
      <c r="G132" s="30"/>
      <c r="I132" s="30"/>
    </row>
    <row r="133" spans="3:9">
      <c r="C133" s="32"/>
      <c r="D133" s="33"/>
      <c r="F133" s="30"/>
      <c r="G133" s="30"/>
      <c r="I133" s="30"/>
    </row>
    <row r="134" spans="3:9">
      <c r="C134" s="32"/>
      <c r="D134" s="33"/>
      <c r="F134" s="30"/>
      <c r="G134" s="30"/>
      <c r="I134" s="30"/>
    </row>
    <row r="135" spans="3:9">
      <c r="C135" s="32"/>
      <c r="D135" s="33"/>
      <c r="F135" s="30"/>
      <c r="G135" s="30"/>
      <c r="I135" s="30"/>
    </row>
    <row r="136" spans="3:9">
      <c r="C136" s="32"/>
      <c r="D136" s="33"/>
      <c r="F136" s="30"/>
      <c r="G136" s="30"/>
      <c r="I136" s="30"/>
    </row>
    <row r="137" spans="3:9">
      <c r="C137" s="32"/>
      <c r="D137" s="33"/>
      <c r="F137" s="30"/>
      <c r="G137" s="30"/>
      <c r="I137" s="30"/>
    </row>
    <row r="138" spans="3:9">
      <c r="C138" s="32"/>
      <c r="D138" s="33"/>
      <c r="F138" s="30"/>
      <c r="G138" s="30"/>
      <c r="I138" s="30"/>
    </row>
    <row r="139" spans="3:9">
      <c r="C139" s="32"/>
      <c r="D139" s="33"/>
      <c r="F139" s="30"/>
      <c r="G139" s="30"/>
      <c r="I139" s="30"/>
    </row>
    <row r="140" spans="3:9">
      <c r="C140" s="32"/>
      <c r="D140" s="33"/>
      <c r="F140" s="30"/>
      <c r="G140" s="30"/>
      <c r="I140" s="30"/>
    </row>
    <row r="141" spans="3:9">
      <c r="C141" s="32"/>
      <c r="D141" s="33"/>
      <c r="F141" s="30"/>
      <c r="G141" s="30"/>
      <c r="I141" s="30"/>
    </row>
    <row r="142" spans="3:9">
      <c r="C142" s="32"/>
      <c r="D142" s="33"/>
      <c r="F142" s="30"/>
      <c r="G142" s="30"/>
      <c r="I142" s="30"/>
    </row>
    <row r="143" spans="3:9">
      <c r="C143" s="32"/>
      <c r="D143" s="33"/>
      <c r="F143" s="30"/>
      <c r="G143" s="30"/>
      <c r="I143" s="30"/>
    </row>
    <row r="144" spans="3:9">
      <c r="C144" s="32"/>
      <c r="D144" s="33"/>
      <c r="F144" s="30"/>
      <c r="G144" s="30"/>
      <c r="I144" s="30"/>
    </row>
    <row r="145" spans="3:9">
      <c r="C145" s="32"/>
      <c r="D145" s="33"/>
      <c r="F145" s="30"/>
      <c r="G145" s="30"/>
      <c r="I145" s="30"/>
    </row>
    <row r="146" spans="3:9">
      <c r="C146" s="32"/>
      <c r="D146" s="33"/>
      <c r="F146" s="30"/>
      <c r="G146" s="30"/>
      <c r="I146" s="30"/>
    </row>
    <row r="147" spans="3:9">
      <c r="C147" s="27"/>
      <c r="F147" s="30"/>
      <c r="G147" s="30"/>
      <c r="I147" s="30"/>
    </row>
    <row r="148" spans="3:9">
      <c r="C148" s="27"/>
      <c r="F148" s="30"/>
      <c r="G148" s="30"/>
      <c r="I148" s="30"/>
    </row>
    <row r="149" spans="3:9">
      <c r="C149" s="27"/>
      <c r="F149" s="30"/>
      <c r="G149" s="30"/>
      <c r="I149" s="30"/>
    </row>
    <row r="150" spans="3:9">
      <c r="C150" s="27"/>
      <c r="F150" s="30"/>
      <c r="G150" s="30"/>
      <c r="I150" s="30"/>
    </row>
    <row r="151" spans="3:9">
      <c r="C151" s="27"/>
      <c r="F151" s="30"/>
      <c r="G151" s="30"/>
      <c r="I151" s="30"/>
    </row>
    <row r="152" spans="3:9">
      <c r="C152" s="27"/>
      <c r="F152" s="30"/>
      <c r="G152" s="30"/>
      <c r="I152" s="30"/>
    </row>
    <row r="153" spans="3:9">
      <c r="C153" s="27"/>
      <c r="F153" s="30"/>
      <c r="G153" s="30"/>
      <c r="I153" s="30"/>
    </row>
    <row r="154" spans="3:9">
      <c r="C154" s="27"/>
      <c r="F154" s="30"/>
      <c r="G154" s="30"/>
      <c r="I154" s="30"/>
    </row>
    <row r="155" spans="3:9">
      <c r="C155" s="27"/>
      <c r="F155" s="30"/>
      <c r="G155" s="30"/>
      <c r="I155" s="30"/>
    </row>
    <row r="156" spans="3:9">
      <c r="C156" s="27"/>
      <c r="F156" s="30"/>
      <c r="G156" s="30"/>
      <c r="I156" s="30"/>
    </row>
    <row r="157" spans="3:9">
      <c r="C157" s="27"/>
      <c r="F157" s="30"/>
      <c r="G157" s="30"/>
      <c r="I157" s="30"/>
    </row>
    <row r="158" spans="3:9">
      <c r="C158" s="27"/>
      <c r="F158" s="30"/>
      <c r="G158" s="30"/>
      <c r="I158" s="30"/>
    </row>
    <row r="159" spans="3:9">
      <c r="C159" s="27"/>
      <c r="F159" s="30"/>
      <c r="G159" s="30"/>
      <c r="I159" s="30"/>
    </row>
    <row r="160" spans="3:9">
      <c r="C160" s="27"/>
      <c r="F160" s="30"/>
      <c r="G160" s="30"/>
      <c r="I160" s="30"/>
    </row>
    <row r="161" spans="3:9">
      <c r="C161" s="27"/>
      <c r="F161" s="30"/>
      <c r="G161" s="30"/>
      <c r="I161" s="30"/>
    </row>
    <row r="162" spans="3:9">
      <c r="C162" s="27"/>
      <c r="F162" s="30"/>
      <c r="G162" s="30"/>
      <c r="I162" s="30"/>
    </row>
    <row r="163" spans="3:9">
      <c r="C163" s="27"/>
      <c r="F163" s="30"/>
      <c r="G163" s="30"/>
      <c r="I163" s="30"/>
    </row>
    <row r="164" spans="3:9">
      <c r="C164" s="27"/>
      <c r="F164" s="30"/>
      <c r="G164" s="30"/>
      <c r="I164" s="30"/>
    </row>
    <row r="165" spans="3:9">
      <c r="C165" s="27"/>
      <c r="F165" s="30"/>
      <c r="G165" s="30"/>
      <c r="I165" s="30"/>
    </row>
    <row r="166" spans="3:9">
      <c r="C166" s="27"/>
      <c r="F166" s="30"/>
      <c r="G166" s="30"/>
      <c r="I166" s="30"/>
    </row>
    <row r="167" spans="3:9">
      <c r="C167" s="27"/>
      <c r="F167" s="30"/>
      <c r="G167" s="30"/>
      <c r="I167" s="30"/>
    </row>
    <row r="168" spans="3:9">
      <c r="C168" s="27"/>
      <c r="F168" s="30"/>
      <c r="G168" s="30"/>
      <c r="I168" s="30"/>
    </row>
    <row r="169" spans="3:9">
      <c r="C169" s="27"/>
      <c r="F169" s="30"/>
      <c r="G169" s="30"/>
      <c r="I169" s="30"/>
    </row>
    <row r="170" spans="3:9">
      <c r="C170" s="27"/>
      <c r="F170" s="30"/>
      <c r="G170" s="30"/>
      <c r="I170" s="30"/>
    </row>
    <row r="171" spans="3:9">
      <c r="C171" s="27"/>
      <c r="F171" s="30"/>
      <c r="G171" s="30"/>
      <c r="I171" s="30"/>
    </row>
    <row r="172" spans="3:9">
      <c r="C172" s="27"/>
      <c r="F172" s="30"/>
      <c r="G172" s="30"/>
      <c r="I172" s="30"/>
    </row>
    <row r="173" spans="3:9">
      <c r="C173" s="27"/>
      <c r="F173" s="30"/>
      <c r="G173" s="30"/>
      <c r="I173" s="30"/>
    </row>
    <row r="174" spans="3:9">
      <c r="C174" s="27"/>
      <c r="F174" s="30"/>
      <c r="G174" s="30"/>
      <c r="I174" s="30"/>
    </row>
    <row r="175" spans="3:9">
      <c r="C175" s="27"/>
      <c r="F175" s="30"/>
      <c r="G175" s="30"/>
      <c r="I175" s="30"/>
    </row>
    <row r="176" spans="3:9">
      <c r="C176" s="27"/>
      <c r="F176" s="30"/>
      <c r="G176" s="30"/>
      <c r="I176" s="30"/>
    </row>
    <row r="177" spans="3:7">
      <c r="C177" s="27"/>
      <c r="F177" s="30"/>
      <c r="G177" s="30"/>
    </row>
    <row r="178" spans="3:7">
      <c r="C178" s="27"/>
      <c r="F178" s="30"/>
      <c r="G178" s="30"/>
    </row>
    <row r="179" spans="3:7">
      <c r="C179" s="27"/>
      <c r="F179" s="30"/>
      <c r="G179" s="30"/>
    </row>
    <row r="180" spans="3:7">
      <c r="C180" s="27"/>
      <c r="F180" s="30"/>
      <c r="G180" s="30"/>
    </row>
    <row r="181" spans="3:7">
      <c r="C181" s="27"/>
      <c r="F181" s="30"/>
      <c r="G181" s="30"/>
    </row>
    <row r="182" spans="3:7">
      <c r="C182" s="27"/>
      <c r="F182" s="30"/>
      <c r="G182" s="30"/>
    </row>
    <row r="183" spans="3:7">
      <c r="C183" s="27"/>
      <c r="F183" s="30"/>
      <c r="G183" s="30"/>
    </row>
    <row r="184" spans="3:7">
      <c r="C184" s="27"/>
      <c r="F184" s="30"/>
      <c r="G184" s="30"/>
    </row>
    <row r="185" spans="3:7">
      <c r="C185" s="27"/>
      <c r="F185" s="30"/>
      <c r="G185" s="30"/>
    </row>
    <row r="186" spans="3:7">
      <c r="C186" s="27"/>
      <c r="F186" s="30"/>
      <c r="G186" s="30"/>
    </row>
    <row r="187" spans="3:7">
      <c r="C187" s="27"/>
      <c r="F187" s="30"/>
      <c r="G187" s="30"/>
    </row>
    <row r="188" spans="3:7">
      <c r="C188" s="27"/>
      <c r="F188" s="30"/>
      <c r="G188" s="30"/>
    </row>
    <row r="189" spans="3:7">
      <c r="C189" s="27"/>
      <c r="F189" s="30"/>
      <c r="G189" s="30"/>
    </row>
    <row r="190" spans="3:7">
      <c r="C190" s="27"/>
      <c r="F190" s="30"/>
      <c r="G190" s="30"/>
    </row>
    <row r="191" spans="3:7">
      <c r="C191" s="27"/>
      <c r="F191" s="30"/>
      <c r="G191" s="30"/>
    </row>
    <row r="192" spans="3:7">
      <c r="C192" s="27"/>
      <c r="F192" s="30"/>
      <c r="G192" s="30"/>
    </row>
    <row r="193" spans="3:7">
      <c r="C193" s="27"/>
      <c r="F193" s="30"/>
      <c r="G193" s="30"/>
    </row>
    <row r="194" spans="3:7">
      <c r="C194" s="27"/>
      <c r="F194" s="30"/>
      <c r="G194" s="30"/>
    </row>
    <row r="195" spans="3:7">
      <c r="C195" s="27"/>
      <c r="F195" s="30"/>
      <c r="G195" s="30"/>
    </row>
    <row r="196" spans="3:7">
      <c r="C196" s="27"/>
      <c r="F196" s="30"/>
      <c r="G196" s="30"/>
    </row>
    <row r="197" spans="3:7">
      <c r="C197" s="27"/>
      <c r="F197" s="30"/>
      <c r="G197" s="30"/>
    </row>
    <row r="198" spans="3:7">
      <c r="C198" s="27"/>
      <c r="F198" s="30"/>
      <c r="G198" s="30"/>
    </row>
    <row r="199" spans="3:7">
      <c r="C199" s="27"/>
      <c r="F199" s="30"/>
      <c r="G199" s="30"/>
    </row>
    <row r="200" spans="3:7">
      <c r="C200" s="27"/>
      <c r="F200" s="30"/>
      <c r="G200" s="30"/>
    </row>
    <row r="201" spans="3:7">
      <c r="C201" s="27"/>
      <c r="F201" s="30"/>
      <c r="G201" s="30"/>
    </row>
    <row r="202" spans="3:7">
      <c r="C202" s="27"/>
      <c r="F202" s="30"/>
      <c r="G202" s="30"/>
    </row>
    <row r="203" spans="3:7">
      <c r="C203" s="27"/>
      <c r="F203" s="30"/>
      <c r="G203" s="30"/>
    </row>
    <row r="204" spans="3:7">
      <c r="C204" s="27"/>
      <c r="F204" s="30"/>
      <c r="G204" s="30"/>
    </row>
    <row r="205" spans="3:7">
      <c r="C205" s="27"/>
      <c r="F205" s="30"/>
      <c r="G205" s="30"/>
    </row>
    <row r="206" spans="3:7">
      <c r="C206" s="27"/>
      <c r="F206" s="30"/>
      <c r="G206" s="30"/>
    </row>
    <row r="207" spans="3:7">
      <c r="C207" s="27"/>
      <c r="F207" s="30"/>
      <c r="G207" s="30"/>
    </row>
    <row r="208" spans="3:7">
      <c r="C208" s="27"/>
      <c r="F208" s="30"/>
      <c r="G208" s="30"/>
    </row>
    <row r="209" spans="3:7">
      <c r="C209" s="27"/>
      <c r="F209" s="30"/>
      <c r="G209" s="30"/>
    </row>
    <row r="210" spans="3:7">
      <c r="C210" s="27"/>
      <c r="F210" s="30"/>
      <c r="G210" s="30"/>
    </row>
    <row r="211" spans="3:7">
      <c r="C211" s="27"/>
      <c r="F211" s="30"/>
      <c r="G211" s="30"/>
    </row>
    <row r="212" spans="3:7">
      <c r="C212" s="27"/>
      <c r="F212" s="30"/>
      <c r="G212" s="30"/>
    </row>
    <row r="213" spans="3:7">
      <c r="C213" s="27"/>
      <c r="F213" s="30"/>
      <c r="G213" s="30"/>
    </row>
    <row r="214" spans="3:7">
      <c r="C214" s="27"/>
      <c r="F214" s="30"/>
      <c r="G214" s="30"/>
    </row>
    <row r="215" spans="3:7">
      <c r="C215" s="27"/>
      <c r="F215" s="30"/>
      <c r="G215" s="30"/>
    </row>
    <row r="216" spans="3:7">
      <c r="C216" s="27"/>
      <c r="F216" s="30"/>
      <c r="G216" s="30"/>
    </row>
    <row r="217" spans="3:7">
      <c r="C217" s="27"/>
      <c r="F217" s="30"/>
      <c r="G217" s="30"/>
    </row>
    <row r="218" spans="3:7">
      <c r="C218" s="27"/>
      <c r="F218" s="30"/>
      <c r="G218" s="30"/>
    </row>
    <row r="219" spans="3:7">
      <c r="C219" s="27"/>
      <c r="F219" s="30"/>
      <c r="G219" s="30"/>
    </row>
    <row r="220" spans="3:7">
      <c r="C220" s="27"/>
      <c r="F220" s="30"/>
      <c r="G220" s="30"/>
    </row>
    <row r="221" spans="3:7">
      <c r="C221" s="27"/>
      <c r="F221" s="30"/>
      <c r="G221" s="30"/>
    </row>
    <row r="222" spans="3:7">
      <c r="C222" s="27"/>
      <c r="F222" s="30"/>
      <c r="G222" s="30"/>
    </row>
    <row r="223" spans="3:7">
      <c r="C223" s="27"/>
      <c r="F223" s="30"/>
      <c r="G223" s="30"/>
    </row>
    <row r="224" spans="3:7">
      <c r="C224" s="27"/>
      <c r="F224" s="30"/>
      <c r="G224" s="30"/>
    </row>
    <row r="225" spans="3:7">
      <c r="C225" s="27"/>
      <c r="F225" s="30"/>
      <c r="G225" s="30"/>
    </row>
    <row r="226" spans="3:7">
      <c r="C226" s="27"/>
      <c r="F226" s="30"/>
      <c r="G226" s="30"/>
    </row>
    <row r="227" spans="3:7">
      <c r="C227" s="27"/>
      <c r="F227" s="30"/>
      <c r="G227" s="30"/>
    </row>
    <row r="228" spans="3:7">
      <c r="C228" s="27"/>
      <c r="F228" s="30"/>
      <c r="G228" s="30"/>
    </row>
    <row r="229" spans="3:7">
      <c r="C229" s="27"/>
      <c r="F229" s="30"/>
      <c r="G229" s="30"/>
    </row>
    <row r="230" spans="3:7">
      <c r="C230" s="27"/>
      <c r="F230" s="30"/>
      <c r="G230" s="30"/>
    </row>
    <row r="231" spans="3:7">
      <c r="C231" s="27"/>
      <c r="F231" s="30"/>
      <c r="G231" s="30"/>
    </row>
    <row r="232" spans="3:7">
      <c r="C232" s="27"/>
      <c r="F232" s="30"/>
      <c r="G232" s="30"/>
    </row>
    <row r="233" spans="3:7">
      <c r="C233" s="27"/>
      <c r="F233" s="30"/>
      <c r="G233" s="30"/>
    </row>
    <row r="234" spans="3:7">
      <c r="C234" s="27"/>
      <c r="F234" s="30"/>
      <c r="G234" s="30"/>
    </row>
    <row r="235" spans="3:7">
      <c r="C235" s="27"/>
      <c r="F235" s="30"/>
      <c r="G235" s="30"/>
    </row>
    <row r="236" spans="3:7">
      <c r="C236" s="27"/>
      <c r="F236" s="30"/>
      <c r="G236" s="30"/>
    </row>
    <row r="237" spans="3:7">
      <c r="C237" s="27"/>
      <c r="F237" s="30"/>
      <c r="G237" s="30"/>
    </row>
    <row r="238" spans="3:7">
      <c r="C238" s="27"/>
      <c r="F238" s="30"/>
      <c r="G238" s="30"/>
    </row>
    <row r="239" spans="3:7">
      <c r="C239" s="27"/>
      <c r="F239" s="30"/>
      <c r="G239" s="30"/>
    </row>
    <row r="240" spans="3:7">
      <c r="C240" s="27"/>
      <c r="F240" s="30"/>
      <c r="G240" s="30"/>
    </row>
    <row r="241" spans="3:7">
      <c r="C241" s="27"/>
      <c r="F241" s="30"/>
      <c r="G241" s="30"/>
    </row>
    <row r="242" spans="3:7">
      <c r="C242" s="27"/>
      <c r="F242" s="30"/>
      <c r="G242" s="30"/>
    </row>
    <row r="243" spans="3:7">
      <c r="C243" s="27"/>
      <c r="F243" s="30"/>
      <c r="G243" s="30"/>
    </row>
    <row r="244" spans="3:7">
      <c r="C244" s="27"/>
      <c r="F244" s="30"/>
      <c r="G244" s="30"/>
    </row>
    <row r="245" spans="3:7">
      <c r="C245" s="27"/>
      <c r="F245" s="30"/>
      <c r="G245" s="30"/>
    </row>
    <row r="246" spans="3:7">
      <c r="C246" s="27"/>
      <c r="F246" s="30"/>
      <c r="G246" s="30"/>
    </row>
    <row r="247" spans="3:7">
      <c r="C247" s="27"/>
      <c r="F247" s="30"/>
      <c r="G247" s="30"/>
    </row>
    <row r="248" spans="3:7">
      <c r="C248" s="27"/>
      <c r="F248" s="30"/>
      <c r="G248" s="30"/>
    </row>
    <row r="249" spans="3:7">
      <c r="C249" s="27"/>
      <c r="F249" s="30"/>
      <c r="G249" s="30"/>
    </row>
    <row r="250" spans="3:7">
      <c r="C250" s="27"/>
      <c r="F250" s="30"/>
      <c r="G250" s="30"/>
    </row>
    <row r="251" spans="3:7">
      <c r="C251" s="27"/>
      <c r="F251" s="30"/>
      <c r="G251" s="30"/>
    </row>
    <row r="252" spans="3:7">
      <c r="C252" s="27"/>
      <c r="F252" s="30"/>
      <c r="G252" s="30"/>
    </row>
    <row r="253" spans="3:7">
      <c r="C253" s="27"/>
      <c r="F253" s="30"/>
      <c r="G253" s="30"/>
    </row>
    <row r="254" spans="3:7">
      <c r="C254" s="27"/>
      <c r="F254" s="30"/>
      <c r="G254" s="30"/>
    </row>
    <row r="255" spans="3:7">
      <c r="C255" s="27"/>
      <c r="F255" s="30"/>
      <c r="G255" s="30"/>
    </row>
    <row r="256" spans="3:7">
      <c r="C256" s="27"/>
      <c r="F256" s="30"/>
      <c r="G256" s="30"/>
    </row>
    <row r="257" spans="3:7">
      <c r="C257" s="27"/>
      <c r="F257" s="30"/>
      <c r="G257" s="30"/>
    </row>
    <row r="258" spans="3:7">
      <c r="C258" s="27"/>
      <c r="F258" s="30"/>
      <c r="G258" s="30"/>
    </row>
    <row r="259" spans="3:7">
      <c r="C259" s="27"/>
      <c r="F259" s="30"/>
      <c r="G259" s="30"/>
    </row>
    <row r="260" spans="3:7">
      <c r="C260" s="27"/>
      <c r="F260" s="30"/>
      <c r="G260" s="30"/>
    </row>
    <row r="261" spans="3:7">
      <c r="C261" s="27"/>
      <c r="F261" s="30"/>
      <c r="G261" s="30"/>
    </row>
    <row r="262" spans="3:7">
      <c r="C262" s="27"/>
      <c r="F262" s="30"/>
      <c r="G262" s="30"/>
    </row>
    <row r="263" spans="3:7">
      <c r="C263" s="27"/>
      <c r="F263" s="30"/>
      <c r="G263" s="30"/>
    </row>
    <row r="264" spans="3:7">
      <c r="C264" s="27"/>
      <c r="F264" s="30"/>
      <c r="G264" s="30"/>
    </row>
    <row r="265" spans="3:7">
      <c r="C265" s="27"/>
      <c r="F265" s="30"/>
      <c r="G265" s="30"/>
    </row>
    <row r="266" spans="3:7">
      <c r="C266" s="27"/>
      <c r="F266" s="30"/>
      <c r="G266" s="30"/>
    </row>
    <row r="267" spans="3:7">
      <c r="C267" s="27"/>
      <c r="F267" s="30"/>
      <c r="G267" s="30"/>
    </row>
    <row r="268" spans="3:7">
      <c r="C268" s="27"/>
      <c r="F268" s="30"/>
      <c r="G268" s="30"/>
    </row>
    <row r="269" spans="3:7">
      <c r="C269" s="27"/>
      <c r="F269" s="30"/>
      <c r="G269" s="30"/>
    </row>
    <row r="270" spans="3:7">
      <c r="C270" s="27"/>
      <c r="F270" s="30"/>
      <c r="G270" s="30"/>
    </row>
    <row r="271" spans="3:7">
      <c r="C271" s="27"/>
      <c r="F271" s="30"/>
      <c r="G271" s="30"/>
    </row>
    <row r="272" spans="3:7">
      <c r="C272" s="27"/>
      <c r="F272" s="30"/>
      <c r="G272" s="30"/>
    </row>
    <row r="273" spans="3:7">
      <c r="C273" s="27"/>
      <c r="F273" s="30"/>
      <c r="G273" s="30"/>
    </row>
    <row r="274" spans="3:7">
      <c r="C274" s="27"/>
      <c r="F274" s="30"/>
      <c r="G274" s="30"/>
    </row>
    <row r="275" spans="3:7">
      <c r="C275" s="27"/>
      <c r="F275" s="30"/>
      <c r="G275" s="30"/>
    </row>
    <row r="276" spans="3:7">
      <c r="C276" s="27"/>
      <c r="F276" s="30"/>
      <c r="G276" s="30"/>
    </row>
    <row r="277" spans="3:7">
      <c r="C277" s="27"/>
      <c r="F277" s="30"/>
      <c r="G277" s="30"/>
    </row>
    <row r="278" spans="3:7">
      <c r="C278" s="27"/>
      <c r="F278" s="30"/>
      <c r="G278" s="30"/>
    </row>
    <row r="279" spans="3:7">
      <c r="C279" s="27"/>
      <c r="F279" s="30"/>
      <c r="G279" s="30"/>
    </row>
    <row r="280" spans="3:7">
      <c r="C280" s="27"/>
      <c r="F280" s="30"/>
      <c r="G280" s="30"/>
    </row>
    <row r="281" spans="3:7">
      <c r="C281" s="27"/>
      <c r="F281" s="30"/>
      <c r="G281" s="30"/>
    </row>
    <row r="282" spans="3:7">
      <c r="C282" s="27"/>
      <c r="F282" s="30"/>
      <c r="G282" s="30"/>
    </row>
    <row r="283" spans="3:7">
      <c r="C283" s="27"/>
      <c r="F283" s="30"/>
      <c r="G283" s="30"/>
    </row>
    <row r="284" spans="3:7">
      <c r="C284" s="27"/>
      <c r="F284" s="30"/>
      <c r="G284" s="30"/>
    </row>
    <row r="285" spans="3:7">
      <c r="C285" s="27"/>
      <c r="F285" s="30"/>
      <c r="G285" s="30"/>
    </row>
    <row r="286" spans="3:7">
      <c r="C286" s="27"/>
      <c r="F286" s="30"/>
      <c r="G286" s="30"/>
    </row>
    <row r="287" spans="3:7">
      <c r="C287" s="27"/>
      <c r="F287" s="30"/>
      <c r="G287" s="30"/>
    </row>
    <row r="288" spans="3:7">
      <c r="C288" s="27"/>
      <c r="F288" s="30"/>
      <c r="G288" s="30"/>
    </row>
    <row r="289" spans="3:7">
      <c r="C289" s="27"/>
      <c r="F289" s="30"/>
      <c r="G289" s="30"/>
    </row>
    <row r="290" spans="3:7">
      <c r="C290" s="27"/>
      <c r="F290" s="30"/>
      <c r="G290" s="30"/>
    </row>
    <row r="291" spans="3:7">
      <c r="C291" s="27"/>
      <c r="F291" s="30"/>
      <c r="G291" s="30"/>
    </row>
    <row r="292" spans="3:7">
      <c r="C292" s="27"/>
      <c r="F292" s="30"/>
      <c r="G292" s="30"/>
    </row>
    <row r="293" spans="3:7">
      <c r="C293" s="27"/>
      <c r="F293" s="30"/>
      <c r="G293" s="30"/>
    </row>
    <row r="294" spans="3:7">
      <c r="C294" s="27"/>
      <c r="F294" s="30"/>
      <c r="G294" s="30"/>
    </row>
    <row r="295" spans="3:7">
      <c r="C295" s="27"/>
      <c r="F295" s="30"/>
      <c r="G295" s="30"/>
    </row>
    <row r="296" spans="3:7">
      <c r="C296" s="27"/>
      <c r="F296" s="30"/>
      <c r="G296" s="30"/>
    </row>
    <row r="297" spans="3:7">
      <c r="C297" s="27"/>
      <c r="F297" s="30"/>
      <c r="G297" s="30"/>
    </row>
    <row r="298" spans="3:7">
      <c r="C298" s="27"/>
      <c r="F298" s="30"/>
      <c r="G298" s="30"/>
    </row>
    <row r="299" spans="3:7">
      <c r="C299" s="27"/>
      <c r="F299" s="30"/>
      <c r="G299" s="30"/>
    </row>
    <row r="300" spans="3:7">
      <c r="C300" s="27"/>
      <c r="F300" s="30"/>
      <c r="G300" s="30"/>
    </row>
    <row r="301" spans="3:7">
      <c r="C301" s="27"/>
      <c r="F301" s="30"/>
      <c r="G301" s="30"/>
    </row>
    <row r="302" spans="3:7">
      <c r="C302" s="27"/>
      <c r="F302" s="30"/>
      <c r="G302" s="30"/>
    </row>
    <row r="303" spans="3:7">
      <c r="C303" s="27"/>
      <c r="F303" s="30"/>
      <c r="G303" s="30"/>
    </row>
    <row r="304" spans="3:7">
      <c r="C304" s="27"/>
      <c r="F304" s="30"/>
      <c r="G304" s="30"/>
    </row>
    <row r="305" spans="3:7">
      <c r="C305" s="27"/>
      <c r="F305" s="30"/>
      <c r="G305" s="30"/>
    </row>
    <row r="306" spans="3:7">
      <c r="C306" s="27"/>
      <c r="F306" s="30"/>
      <c r="G306" s="30"/>
    </row>
    <row r="307" spans="3:7">
      <c r="C307" s="27"/>
      <c r="F307" s="30"/>
      <c r="G307" s="30"/>
    </row>
    <row r="308" spans="3:7">
      <c r="C308" s="27"/>
      <c r="F308" s="30"/>
      <c r="G308" s="30"/>
    </row>
    <row r="309" spans="3:7">
      <c r="C309" s="27"/>
      <c r="F309" s="30"/>
      <c r="G309" s="30"/>
    </row>
    <row r="310" spans="3:7">
      <c r="C310" s="27"/>
      <c r="F310" s="30"/>
      <c r="G310" s="30"/>
    </row>
    <row r="311" spans="3:7">
      <c r="C311" s="27"/>
      <c r="F311" s="30"/>
      <c r="G311" s="30"/>
    </row>
    <row r="312" spans="3:7">
      <c r="C312" s="27"/>
      <c r="F312" s="30"/>
      <c r="G312" s="30"/>
    </row>
    <row r="313" spans="3:7">
      <c r="C313" s="27"/>
      <c r="F313" s="30"/>
      <c r="G313" s="30"/>
    </row>
    <row r="314" spans="3:7">
      <c r="C314" s="27"/>
      <c r="F314" s="30"/>
      <c r="G314" s="30"/>
    </row>
    <row r="315" spans="3:7">
      <c r="C315" s="27"/>
      <c r="F315" s="30"/>
      <c r="G315" s="30"/>
    </row>
    <row r="316" spans="3:7">
      <c r="C316" s="27"/>
      <c r="F316" s="30"/>
      <c r="G316" s="30"/>
    </row>
    <row r="317" spans="3:7">
      <c r="C317" s="27"/>
      <c r="F317" s="30"/>
      <c r="G317" s="30"/>
    </row>
    <row r="318" spans="3:7">
      <c r="C318" s="27"/>
      <c r="F318" s="30"/>
      <c r="G318" s="30"/>
    </row>
    <row r="319" spans="3:7">
      <c r="C319" s="27"/>
      <c r="F319" s="30"/>
      <c r="G319" s="30"/>
    </row>
    <row r="320" spans="3:7">
      <c r="C320" s="27"/>
      <c r="F320" s="30"/>
      <c r="G320" s="30"/>
    </row>
    <row r="321" spans="3:7">
      <c r="C321" s="27"/>
      <c r="F321" s="30"/>
      <c r="G321" s="30"/>
    </row>
    <row r="322" spans="3:7">
      <c r="C322" s="27"/>
      <c r="F322" s="30"/>
      <c r="G322" s="30"/>
    </row>
    <row r="323" spans="3:7">
      <c r="C323" s="27"/>
      <c r="F323" s="30"/>
      <c r="G323" s="30"/>
    </row>
    <row r="324" spans="3:7">
      <c r="C324" s="27"/>
      <c r="F324" s="30"/>
      <c r="G324" s="30"/>
    </row>
    <row r="325" spans="3:7">
      <c r="C325" s="27"/>
      <c r="F325" s="30"/>
      <c r="G325" s="30"/>
    </row>
    <row r="326" spans="3:7">
      <c r="C326" s="27"/>
      <c r="F326" s="30"/>
      <c r="G326" s="30"/>
    </row>
    <row r="327" spans="3:7">
      <c r="C327" s="27"/>
      <c r="F327" s="30"/>
      <c r="G327" s="30"/>
    </row>
    <row r="328" spans="3:7">
      <c r="C328" s="27"/>
      <c r="F328" s="30"/>
      <c r="G328" s="30"/>
    </row>
    <row r="329" spans="3:7">
      <c r="C329" s="27"/>
      <c r="F329" s="30"/>
      <c r="G329" s="30"/>
    </row>
    <row r="330" spans="3:7">
      <c r="C330" s="27"/>
      <c r="F330" s="30"/>
      <c r="G330" s="30"/>
    </row>
    <row r="331" spans="3:7">
      <c r="C331" s="27"/>
      <c r="F331" s="30"/>
      <c r="G331" s="30"/>
    </row>
    <row r="332" spans="3:7">
      <c r="C332" s="27"/>
      <c r="F332" s="30"/>
      <c r="G332" s="30"/>
    </row>
    <row r="333" spans="3:7">
      <c r="C333" s="27"/>
      <c r="F333" s="30"/>
      <c r="G333" s="30"/>
    </row>
    <row r="334" spans="3:7">
      <c r="C334" s="27"/>
      <c r="F334" s="30"/>
      <c r="G334" s="30"/>
    </row>
    <row r="335" spans="3:7">
      <c r="C335" s="27"/>
      <c r="F335" s="30"/>
      <c r="G335" s="30"/>
    </row>
    <row r="336" spans="3:7">
      <c r="C336" s="27"/>
      <c r="F336" s="30"/>
      <c r="G336" s="30"/>
    </row>
    <row r="337" spans="3:7">
      <c r="C337" s="27"/>
      <c r="F337" s="30"/>
      <c r="G337" s="30"/>
    </row>
    <row r="338" spans="3:7">
      <c r="C338" s="27"/>
      <c r="F338" s="30"/>
      <c r="G338" s="30"/>
    </row>
    <row r="339" spans="3:7">
      <c r="C339" s="27"/>
      <c r="F339" s="30"/>
      <c r="G339" s="30"/>
    </row>
    <row r="340" spans="3:7">
      <c r="C340" s="27"/>
      <c r="F340" s="30"/>
      <c r="G340" s="30"/>
    </row>
    <row r="341" spans="3:7">
      <c r="C341" s="27"/>
      <c r="F341" s="30"/>
      <c r="G341" s="30"/>
    </row>
    <row r="342" spans="3:7">
      <c r="C342" s="27"/>
      <c r="F342" s="30"/>
      <c r="G342" s="30"/>
    </row>
    <row r="343" spans="3:7">
      <c r="C343" s="27"/>
      <c r="F343" s="30"/>
      <c r="G343" s="30"/>
    </row>
    <row r="344" spans="3:7">
      <c r="C344" s="27"/>
      <c r="F344" s="30"/>
      <c r="G344" s="30"/>
    </row>
    <row r="345" spans="3:7">
      <c r="C345" s="27"/>
      <c r="F345" s="30"/>
      <c r="G345" s="30"/>
    </row>
    <row r="346" spans="3:7">
      <c r="C346" s="27"/>
      <c r="F346" s="30"/>
      <c r="G346" s="30"/>
    </row>
    <row r="347" spans="3:7">
      <c r="C347" s="27"/>
      <c r="F347" s="30"/>
      <c r="G347" s="30"/>
    </row>
    <row r="348" spans="3:7">
      <c r="C348" s="27"/>
      <c r="F348" s="30"/>
      <c r="G348" s="30"/>
    </row>
    <row r="349" spans="3:7">
      <c r="C349" s="27"/>
      <c r="F349" s="30"/>
      <c r="G349" s="30"/>
    </row>
    <row r="350" spans="3:7">
      <c r="C350" s="27"/>
      <c r="F350" s="30"/>
      <c r="G350" s="30"/>
    </row>
    <row r="351" spans="3:7">
      <c r="C351" s="27"/>
      <c r="F351" s="30"/>
      <c r="G351" s="30"/>
    </row>
    <row r="352" spans="3:7">
      <c r="C352" s="27"/>
      <c r="F352" s="30"/>
      <c r="G352" s="30"/>
    </row>
    <row r="353" spans="3:7">
      <c r="C353" s="27"/>
      <c r="F353" s="30"/>
      <c r="G353" s="30"/>
    </row>
    <row r="354" spans="3:7">
      <c r="C354" s="27"/>
      <c r="F354" s="30"/>
      <c r="G354" s="30"/>
    </row>
    <row r="355" spans="3:7">
      <c r="C355" s="27"/>
      <c r="F355" s="30"/>
      <c r="G355" s="30"/>
    </row>
    <row r="356" spans="3:7">
      <c r="C356" s="27"/>
      <c r="F356" s="30"/>
      <c r="G356" s="30"/>
    </row>
    <row r="357" spans="3:7">
      <c r="C357" s="27"/>
      <c r="F357" s="30"/>
      <c r="G357" s="30"/>
    </row>
    <row r="358" spans="3:7">
      <c r="C358" s="27"/>
      <c r="F358" s="30"/>
      <c r="G358" s="30"/>
    </row>
    <row r="359" spans="3:7">
      <c r="C359" s="27"/>
      <c r="F359" s="30"/>
      <c r="G359" s="30"/>
    </row>
    <row r="360" spans="3:7">
      <c r="C360" s="27"/>
      <c r="F360" s="30"/>
      <c r="G360" s="30"/>
    </row>
    <row r="361" spans="3:7">
      <c r="C361" s="27"/>
      <c r="F361" s="30"/>
      <c r="G361" s="30"/>
    </row>
    <row r="362" spans="3:7">
      <c r="C362" s="27"/>
      <c r="F362" s="30"/>
      <c r="G362" s="30"/>
    </row>
    <row r="363" spans="3:7">
      <c r="C363" s="27"/>
      <c r="F363" s="30"/>
      <c r="G363" s="30"/>
    </row>
    <row r="364" spans="3:7">
      <c r="C364" s="27"/>
      <c r="F364" s="30"/>
      <c r="G364" s="30"/>
    </row>
    <row r="365" spans="3:7">
      <c r="C365" s="27"/>
      <c r="F365" s="30"/>
      <c r="G365" s="30"/>
    </row>
    <row r="366" spans="3:7">
      <c r="C366" s="27"/>
      <c r="F366" s="30"/>
      <c r="G366" s="30"/>
    </row>
    <row r="367" spans="3:7">
      <c r="C367" s="27"/>
      <c r="F367" s="30"/>
      <c r="G367" s="30"/>
    </row>
    <row r="368" spans="3:7">
      <c r="C368" s="27"/>
      <c r="F368" s="30"/>
      <c r="G368" s="30"/>
    </row>
    <row r="369" spans="3:7">
      <c r="C369" s="27"/>
      <c r="F369" s="30"/>
      <c r="G369" s="30"/>
    </row>
    <row r="370" spans="3:7">
      <c r="C370" s="27"/>
      <c r="F370" s="30"/>
      <c r="G370" s="30"/>
    </row>
    <row r="371" spans="3:7">
      <c r="C371" s="27"/>
      <c r="F371" s="30"/>
      <c r="G371" s="30"/>
    </row>
    <row r="372" spans="3:7">
      <c r="C372" s="27"/>
      <c r="F372" s="30"/>
      <c r="G372" s="30"/>
    </row>
    <row r="373" spans="3:7">
      <c r="C373" s="27"/>
      <c r="F373" s="30"/>
      <c r="G373" s="30"/>
    </row>
    <row r="374" spans="3:7">
      <c r="C374" s="27"/>
      <c r="F374" s="30"/>
      <c r="G374" s="30"/>
    </row>
    <row r="375" spans="3:7">
      <c r="C375" s="27"/>
      <c r="F375" s="30"/>
      <c r="G375" s="30"/>
    </row>
    <row r="376" spans="3:7">
      <c r="C376" s="27"/>
      <c r="F376" s="30"/>
      <c r="G376" s="30"/>
    </row>
    <row r="377" spans="3:7">
      <c r="C377" s="27"/>
      <c r="F377" s="30"/>
      <c r="G377" s="30"/>
    </row>
    <row r="378" spans="3:7">
      <c r="C378" s="27"/>
      <c r="F378" s="30"/>
      <c r="G378" s="30"/>
    </row>
    <row r="379" spans="3:7">
      <c r="C379" s="27"/>
      <c r="F379" s="30"/>
      <c r="G379" s="30"/>
    </row>
    <row r="380" spans="3:7">
      <c r="C380" s="27"/>
      <c r="F380" s="30"/>
      <c r="G380" s="30"/>
    </row>
    <row r="381" spans="3:7">
      <c r="C381" s="27"/>
      <c r="F381" s="30"/>
      <c r="G381" s="30"/>
    </row>
    <row r="382" spans="3:7">
      <c r="C382" s="27"/>
      <c r="F382" s="30"/>
      <c r="G382" s="30"/>
    </row>
    <row r="383" spans="3:7">
      <c r="C383" s="27"/>
      <c r="F383" s="30"/>
      <c r="G383" s="30"/>
    </row>
    <row r="384" spans="3:7">
      <c r="C384" s="27"/>
      <c r="F384" s="30"/>
      <c r="G384" s="30"/>
    </row>
    <row r="385" spans="3:7">
      <c r="C385" s="27"/>
      <c r="F385" s="30"/>
      <c r="G385" s="30"/>
    </row>
    <row r="386" spans="3:7">
      <c r="C386" s="27"/>
      <c r="F386" s="30"/>
      <c r="G386" s="30"/>
    </row>
    <row r="387" spans="3:7">
      <c r="C387" s="27"/>
      <c r="F387" s="30"/>
      <c r="G387" s="30"/>
    </row>
    <row r="388" spans="3:7">
      <c r="C388" s="27"/>
      <c r="F388" s="30"/>
      <c r="G388" s="30"/>
    </row>
    <row r="389" spans="3:7">
      <c r="C389" s="27"/>
      <c r="F389" s="30"/>
      <c r="G389" s="30"/>
    </row>
    <row r="390" spans="3:7">
      <c r="C390" s="27"/>
      <c r="F390" s="30"/>
      <c r="G390" s="30"/>
    </row>
    <row r="391" spans="3:7">
      <c r="C391" s="27"/>
      <c r="F391" s="30"/>
      <c r="G391" s="30"/>
    </row>
    <row r="392" spans="3:7">
      <c r="C392" s="27"/>
      <c r="F392" s="30"/>
      <c r="G392" s="30"/>
    </row>
    <row r="393" spans="3:7">
      <c r="C393" s="27"/>
      <c r="F393" s="30"/>
      <c r="G393" s="30"/>
    </row>
    <row r="394" spans="3:7">
      <c r="C394" s="32"/>
      <c r="D394" s="33"/>
      <c r="F394" s="30"/>
      <c r="G394" s="30"/>
    </row>
    <row r="395" spans="3:7">
      <c r="C395" s="32"/>
      <c r="D395" s="33"/>
      <c r="F395" s="30"/>
      <c r="G395" s="30"/>
    </row>
    <row r="396" spans="3:7">
      <c r="C396" s="32"/>
      <c r="D396" s="33"/>
      <c r="F396" s="30"/>
      <c r="G396" s="30"/>
    </row>
    <row r="397" spans="3:7">
      <c r="C397" s="32"/>
      <c r="D397" s="33"/>
      <c r="F397" s="30"/>
      <c r="G397" s="30"/>
    </row>
    <row r="398" spans="3:7">
      <c r="C398" s="32"/>
      <c r="D398" s="33"/>
      <c r="F398" s="30"/>
      <c r="G398" s="30"/>
    </row>
    <row r="399" spans="3:7">
      <c r="C399" s="32"/>
      <c r="D399" s="33"/>
      <c r="F399" s="30"/>
      <c r="G399" s="30"/>
    </row>
    <row r="400" spans="3:7">
      <c r="C400" s="32"/>
      <c r="D400" s="33"/>
      <c r="F400" s="30"/>
      <c r="G400" s="30"/>
    </row>
    <row r="401" spans="3:7">
      <c r="C401" s="32"/>
      <c r="D401" s="33"/>
      <c r="F401" s="30"/>
      <c r="G401" s="30"/>
    </row>
    <row r="402" spans="3:7">
      <c r="C402" s="32"/>
      <c r="D402" s="33"/>
      <c r="F402" s="30"/>
      <c r="G402" s="30"/>
    </row>
    <row r="403" spans="3:7">
      <c r="C403" s="27"/>
      <c r="F403" s="30"/>
      <c r="G403" s="30"/>
    </row>
    <row r="404" spans="3:7">
      <c r="C404" s="27"/>
      <c r="F404" s="30"/>
      <c r="G404" s="30"/>
    </row>
    <row r="405" spans="3:7">
      <c r="C405" s="27"/>
      <c r="F405" s="30"/>
      <c r="G405" s="30"/>
    </row>
    <row r="406" spans="3:7">
      <c r="C406" s="27"/>
      <c r="F406" s="30"/>
      <c r="G406" s="30"/>
    </row>
    <row r="407" spans="3:7">
      <c r="C407" s="27"/>
      <c r="F407" s="30"/>
      <c r="G407" s="30"/>
    </row>
    <row r="408" spans="3:7">
      <c r="C408" s="27"/>
      <c r="F408" s="30"/>
      <c r="G408" s="30"/>
    </row>
    <row r="409" spans="3:7">
      <c r="C409" s="27"/>
      <c r="F409" s="30"/>
      <c r="G409" s="30"/>
    </row>
    <row r="410" spans="3:7">
      <c r="C410" s="27"/>
      <c r="F410" s="30"/>
      <c r="G410" s="30"/>
    </row>
    <row r="411" spans="3:7">
      <c r="C411" s="27"/>
      <c r="F411" s="30"/>
      <c r="G411" s="30"/>
    </row>
    <row r="412" spans="3:7">
      <c r="C412" s="27"/>
      <c r="F412" s="30"/>
      <c r="G412" s="30"/>
    </row>
    <row r="413" spans="3:7">
      <c r="C413" s="27"/>
      <c r="F413" s="30"/>
      <c r="G413" s="30"/>
    </row>
    <row r="414" spans="3:7">
      <c r="C414" s="27"/>
      <c r="F414" s="30"/>
      <c r="G414" s="30"/>
    </row>
    <row r="415" spans="3:7">
      <c r="C415" s="27"/>
      <c r="F415" s="30"/>
      <c r="G415" s="30"/>
    </row>
    <row r="416" spans="3:7">
      <c r="C416" s="27"/>
      <c r="F416" s="30"/>
      <c r="G416" s="30"/>
    </row>
    <row r="417" spans="3:7">
      <c r="C417" s="27"/>
      <c r="F417" s="30"/>
      <c r="G417" s="30"/>
    </row>
    <row r="418" spans="3:7">
      <c r="C418" s="27"/>
      <c r="F418" s="30"/>
      <c r="G418" s="30"/>
    </row>
    <row r="419" spans="3:7">
      <c r="C419" s="27"/>
      <c r="F419" s="30"/>
      <c r="G419" s="30"/>
    </row>
    <row r="420" spans="3:7">
      <c r="C420" s="27"/>
      <c r="F420" s="30"/>
      <c r="G420" s="30"/>
    </row>
    <row r="421" spans="3:7">
      <c r="C421" s="27"/>
      <c r="F421" s="30"/>
      <c r="G421" s="30"/>
    </row>
    <row r="422" spans="3:7">
      <c r="C422" s="27"/>
      <c r="F422" s="30"/>
      <c r="G422" s="30"/>
    </row>
    <row r="423" spans="3:7">
      <c r="C423" s="27"/>
      <c r="F423" s="30"/>
      <c r="G423" s="30"/>
    </row>
    <row r="424" spans="3:7">
      <c r="C424" s="27"/>
      <c r="F424" s="30"/>
      <c r="G424" s="30"/>
    </row>
    <row r="425" spans="3:7">
      <c r="C425" s="27"/>
      <c r="F425" s="30"/>
      <c r="G425" s="30"/>
    </row>
    <row r="426" spans="3:7">
      <c r="C426" s="27"/>
      <c r="F426" s="30"/>
      <c r="G426" s="30"/>
    </row>
    <row r="427" spans="3:7">
      <c r="C427" s="27"/>
      <c r="F427" s="30"/>
      <c r="G427" s="30"/>
    </row>
    <row r="428" spans="3:7">
      <c r="C428" s="27"/>
      <c r="F428" s="30"/>
      <c r="G428" s="30"/>
    </row>
    <row r="429" spans="3:7">
      <c r="C429" s="27"/>
      <c r="F429" s="30"/>
      <c r="G429" s="30"/>
    </row>
    <row r="430" spans="3:7">
      <c r="C430" s="27"/>
      <c r="F430" s="30"/>
      <c r="G430" s="30"/>
    </row>
    <row r="431" spans="3:7">
      <c r="C431" s="27"/>
      <c r="F431" s="30"/>
      <c r="G431" s="30"/>
    </row>
    <row r="432" spans="3:7">
      <c r="C432" s="27"/>
      <c r="F432" s="30"/>
      <c r="G432" s="30"/>
    </row>
    <row r="433" spans="3:7">
      <c r="C433" s="27"/>
      <c r="F433" s="30"/>
      <c r="G433" s="30"/>
    </row>
    <row r="434" spans="3:7">
      <c r="C434" s="27"/>
      <c r="F434" s="30"/>
      <c r="G434" s="30"/>
    </row>
    <row r="435" spans="3:7">
      <c r="C435" s="27"/>
      <c r="F435" s="30"/>
      <c r="G435" s="30"/>
    </row>
    <row r="436" spans="3:7">
      <c r="C436" s="27"/>
      <c r="F436" s="30"/>
      <c r="G436" s="30"/>
    </row>
    <row r="437" spans="3:7">
      <c r="C437" s="27"/>
      <c r="F437" s="30"/>
      <c r="G437" s="30"/>
    </row>
    <row r="438" spans="3:7">
      <c r="C438" s="27"/>
      <c r="F438" s="30"/>
      <c r="G438" s="30"/>
    </row>
    <row r="439" spans="3:7">
      <c r="C439" s="27"/>
      <c r="F439" s="30"/>
      <c r="G439" s="30"/>
    </row>
    <row r="440" spans="3:7">
      <c r="C440" s="27"/>
      <c r="F440" s="30"/>
      <c r="G440" s="30"/>
    </row>
    <row r="441" spans="3:7">
      <c r="C441" s="27"/>
      <c r="F441" s="30"/>
      <c r="G441" s="30"/>
    </row>
    <row r="442" spans="3:7">
      <c r="C442" s="27"/>
      <c r="F442" s="30"/>
      <c r="G442" s="30"/>
    </row>
    <row r="443" spans="3:7">
      <c r="C443" s="27"/>
      <c r="F443" s="30"/>
      <c r="G443" s="30"/>
    </row>
    <row r="444" spans="3:7">
      <c r="C444" s="27"/>
      <c r="F444" s="30"/>
      <c r="G444" s="30"/>
    </row>
    <row r="445" spans="3:7">
      <c r="C445" s="27"/>
      <c r="F445" s="30"/>
      <c r="G445" s="30"/>
    </row>
    <row r="446" spans="3:7">
      <c r="C446" s="27"/>
      <c r="F446" s="30"/>
      <c r="G446" s="30"/>
    </row>
    <row r="447" spans="3:7">
      <c r="C447" s="27"/>
      <c r="F447" s="30"/>
      <c r="G447" s="30"/>
    </row>
    <row r="448" spans="3:7">
      <c r="C448" s="27"/>
      <c r="F448" s="30"/>
      <c r="G448" s="30"/>
    </row>
    <row r="449" spans="3:7">
      <c r="C449" s="27"/>
      <c r="F449" s="30"/>
      <c r="G449" s="30"/>
    </row>
    <row r="450" spans="3:7">
      <c r="C450" s="27"/>
      <c r="F450" s="30"/>
      <c r="G450" s="30"/>
    </row>
    <row r="451" spans="3:7">
      <c r="C451" s="27"/>
      <c r="F451" s="30"/>
      <c r="G451" s="30"/>
    </row>
    <row r="452" spans="3:7">
      <c r="C452" s="27"/>
      <c r="F452" s="30"/>
      <c r="G452" s="30"/>
    </row>
    <row r="453" spans="3:7">
      <c r="C453" s="27"/>
      <c r="F453" s="30"/>
      <c r="G453" s="30"/>
    </row>
    <row r="454" spans="3:7">
      <c r="C454" s="27"/>
      <c r="F454" s="30"/>
      <c r="G454" s="30"/>
    </row>
    <row r="455" spans="3:7">
      <c r="C455" s="27"/>
      <c r="F455" s="30"/>
      <c r="G455" s="30"/>
    </row>
    <row r="456" spans="3:7">
      <c r="C456" s="27"/>
      <c r="F456" s="30"/>
      <c r="G456" s="30"/>
    </row>
    <row r="457" spans="3:7">
      <c r="C457" s="27"/>
      <c r="F457" s="30"/>
      <c r="G457" s="30"/>
    </row>
    <row r="458" spans="3:7">
      <c r="C458" s="27"/>
      <c r="F458" s="30"/>
      <c r="G458" s="30"/>
    </row>
    <row r="459" spans="3:7">
      <c r="C459" s="27"/>
      <c r="F459" s="30"/>
      <c r="G459" s="30"/>
    </row>
    <row r="460" spans="3:7">
      <c r="C460" s="27"/>
      <c r="F460" s="30"/>
      <c r="G460" s="30"/>
    </row>
    <row r="461" spans="3:7">
      <c r="C461" s="27"/>
      <c r="F461" s="30"/>
      <c r="G461" s="30"/>
    </row>
    <row r="462" spans="3:7">
      <c r="C462" s="27"/>
      <c r="F462" s="30"/>
      <c r="G462" s="30"/>
    </row>
    <row r="463" spans="3:7">
      <c r="C463" s="27"/>
      <c r="F463" s="30"/>
      <c r="G463" s="30"/>
    </row>
    <row r="464" spans="3:7">
      <c r="C464" s="27"/>
      <c r="F464" s="30"/>
      <c r="G464" s="30"/>
    </row>
    <row r="465" spans="3:7">
      <c r="C465" s="27"/>
      <c r="F465" s="30"/>
      <c r="G465" s="30"/>
    </row>
    <row r="466" spans="3:7">
      <c r="C466" s="27"/>
      <c r="F466" s="30"/>
      <c r="G466" s="30"/>
    </row>
    <row r="467" spans="3:7">
      <c r="C467" s="27"/>
      <c r="F467" s="30"/>
      <c r="G467" s="30"/>
    </row>
    <row r="468" spans="3:7">
      <c r="C468" s="27"/>
      <c r="F468" s="30"/>
      <c r="G468" s="30"/>
    </row>
    <row r="469" spans="3:7">
      <c r="C469" s="27"/>
      <c r="F469" s="30"/>
      <c r="G469" s="30"/>
    </row>
    <row r="470" spans="3:7">
      <c r="C470" s="27"/>
      <c r="F470" s="30"/>
      <c r="G470" s="30"/>
    </row>
    <row r="471" spans="3:7">
      <c r="C471" s="27"/>
      <c r="F471" s="30"/>
      <c r="G471" s="30"/>
    </row>
    <row r="472" spans="3:7">
      <c r="C472" s="27"/>
      <c r="F472" s="30"/>
      <c r="G472" s="30"/>
    </row>
    <row r="473" spans="3:7">
      <c r="C473" s="27"/>
      <c r="F473" s="30"/>
      <c r="G473" s="30"/>
    </row>
    <row r="474" spans="3:7">
      <c r="C474" s="27"/>
      <c r="F474" s="30"/>
      <c r="G474" s="30"/>
    </row>
    <row r="475" spans="3:7">
      <c r="C475" s="27"/>
      <c r="F475" s="30"/>
      <c r="G475" s="30"/>
    </row>
    <row r="476" spans="3:7">
      <c r="C476" s="27"/>
      <c r="F476" s="30"/>
      <c r="G476" s="30"/>
    </row>
    <row r="477" spans="3:7">
      <c r="C477" s="27"/>
      <c r="F477" s="30"/>
      <c r="G477" s="30"/>
    </row>
    <row r="478" spans="3:7">
      <c r="C478" s="27"/>
      <c r="F478" s="30"/>
      <c r="G478" s="30"/>
    </row>
    <row r="479" spans="3:7">
      <c r="C479" s="27"/>
      <c r="F479" s="30"/>
      <c r="G479" s="30"/>
    </row>
    <row r="480" spans="3:7">
      <c r="C480" s="27"/>
      <c r="F480" s="30"/>
      <c r="G480" s="30"/>
    </row>
    <row r="481" spans="3:7">
      <c r="C481" s="32"/>
      <c r="D481" s="33"/>
      <c r="F481" s="30"/>
      <c r="G481" s="30"/>
    </row>
    <row r="482" spans="3:7">
      <c r="C482" s="32"/>
      <c r="D482" s="33"/>
      <c r="F482" s="30"/>
      <c r="G482" s="30"/>
    </row>
    <row r="483" spans="3:7">
      <c r="C483" s="32"/>
      <c r="D483" s="33"/>
      <c r="F483" s="30"/>
      <c r="G483" s="30"/>
    </row>
    <row r="484" spans="3:7">
      <c r="C484" s="32"/>
      <c r="D484" s="33"/>
      <c r="F484" s="30"/>
      <c r="G484" s="30"/>
    </row>
    <row r="485" spans="3:7">
      <c r="C485" s="32"/>
      <c r="D485" s="33"/>
      <c r="F485" s="30"/>
      <c r="G485" s="30"/>
    </row>
    <row r="486" spans="3:7">
      <c r="C486" s="32"/>
      <c r="D486" s="33"/>
      <c r="F486" s="30"/>
      <c r="G486" s="30"/>
    </row>
    <row r="487" spans="3:7">
      <c r="C487" s="32"/>
      <c r="D487" s="33"/>
      <c r="F487" s="30"/>
      <c r="G487" s="30"/>
    </row>
    <row r="488" spans="3:7">
      <c r="C488" s="32"/>
      <c r="D488" s="33"/>
      <c r="F488" s="30"/>
      <c r="G488" s="30"/>
    </row>
    <row r="489" spans="3:7">
      <c r="C489" s="32"/>
      <c r="D489" s="33"/>
      <c r="F489" s="30"/>
      <c r="G489" s="30"/>
    </row>
    <row r="490" spans="3:7">
      <c r="C490" s="32"/>
      <c r="D490" s="33"/>
      <c r="F490" s="30"/>
      <c r="G490" s="30"/>
    </row>
    <row r="491" spans="3:7">
      <c r="C491" s="32"/>
      <c r="D491" s="33"/>
      <c r="F491" s="30"/>
      <c r="G491" s="30"/>
    </row>
    <row r="492" spans="3:7">
      <c r="C492" s="32"/>
      <c r="D492" s="33"/>
      <c r="F492" s="30"/>
      <c r="G492" s="30"/>
    </row>
    <row r="493" spans="3:7">
      <c r="C493" s="32"/>
      <c r="D493" s="33"/>
      <c r="F493" s="30"/>
      <c r="G493" s="30"/>
    </row>
    <row r="494" spans="3:7">
      <c r="C494" s="27"/>
      <c r="F494" s="30"/>
      <c r="G494" s="30"/>
    </row>
    <row r="495" spans="3:7">
      <c r="C495" s="34"/>
      <c r="F495" s="35"/>
      <c r="G495" s="35"/>
    </row>
    <row r="496" spans="3:7">
      <c r="C496" s="34"/>
      <c r="F496" s="35"/>
      <c r="G496" s="35"/>
    </row>
    <row r="497" spans="3:7">
      <c r="C497" s="34"/>
      <c r="F497" s="35"/>
      <c r="G497" s="35"/>
    </row>
    <row r="498" spans="3:7">
      <c r="C498" s="34"/>
      <c r="F498" s="35"/>
      <c r="G498" s="35"/>
    </row>
    <row r="499" spans="3:7">
      <c r="C499" s="34"/>
      <c r="F499" s="35"/>
      <c r="G499" s="35"/>
    </row>
    <row r="500" spans="3:7">
      <c r="C500" s="34"/>
      <c r="F500" s="35"/>
      <c r="G500" s="35"/>
    </row>
    <row r="501" spans="3:7">
      <c r="C501" s="34"/>
      <c r="F501" s="35"/>
      <c r="G501" s="35"/>
    </row>
    <row r="502" spans="3:7">
      <c r="C502" s="34"/>
      <c r="F502" s="35"/>
      <c r="G502" s="35"/>
    </row>
    <row r="503" spans="3:7">
      <c r="C503" s="34"/>
      <c r="F503" s="35"/>
      <c r="G503" s="35"/>
    </row>
    <row r="504" spans="3:7">
      <c r="C504" s="34"/>
      <c r="F504" s="35"/>
      <c r="G504" s="35"/>
    </row>
    <row r="505" spans="3:7">
      <c r="C505" s="34"/>
      <c r="F505" s="35"/>
      <c r="G505" s="35"/>
    </row>
    <row r="506" spans="3:7">
      <c r="C506" s="34"/>
      <c r="F506" s="35"/>
      <c r="G506" s="35"/>
    </row>
    <row r="507" spans="3:7">
      <c r="C507" s="34"/>
      <c r="F507" s="35"/>
      <c r="G507" s="35"/>
    </row>
    <row r="508" spans="3:7">
      <c r="C508" s="34"/>
      <c r="F508" s="35"/>
      <c r="G508" s="35"/>
    </row>
    <row r="509" spans="3:7">
      <c r="C509" s="34"/>
      <c r="F509" s="35"/>
      <c r="G509" s="35"/>
    </row>
    <row r="510" spans="3:7">
      <c r="C510" s="34"/>
      <c r="F510" s="35"/>
      <c r="G510" s="35"/>
    </row>
    <row r="511" spans="3:7">
      <c r="C511" s="34"/>
      <c r="F511" s="35"/>
      <c r="G511" s="35"/>
    </row>
    <row r="512" spans="3:7">
      <c r="C512" s="34"/>
      <c r="F512" s="35"/>
      <c r="G512" s="35"/>
    </row>
    <row r="513" spans="3:7">
      <c r="C513" s="34"/>
      <c r="F513" s="35"/>
      <c r="G513" s="35"/>
    </row>
    <row r="514" spans="3:7">
      <c r="C514" s="34"/>
      <c r="F514" s="35"/>
      <c r="G514" s="35"/>
    </row>
    <row r="515" spans="3:7">
      <c r="C515" s="34"/>
      <c r="F515" s="35"/>
      <c r="G515" s="35"/>
    </row>
    <row r="516" spans="3:7">
      <c r="C516" s="34"/>
      <c r="F516" s="35"/>
      <c r="G516" s="35"/>
    </row>
    <row r="517" spans="3:7">
      <c r="C517" s="34"/>
      <c r="F517" s="35"/>
      <c r="G517" s="35"/>
    </row>
    <row r="518" spans="3:7">
      <c r="C518" s="34"/>
      <c r="F518" s="35"/>
      <c r="G518" s="35"/>
    </row>
    <row r="519" spans="3:7">
      <c r="C519" s="34"/>
      <c r="F519" s="35"/>
      <c r="G519" s="35"/>
    </row>
    <row r="520" spans="3:7">
      <c r="C520" s="34"/>
      <c r="F520" s="35"/>
      <c r="G520" s="35"/>
    </row>
    <row r="521" spans="3:7">
      <c r="C521" s="34"/>
      <c r="F521" s="35"/>
      <c r="G521" s="35"/>
    </row>
    <row r="522" spans="3:7">
      <c r="C522" s="34"/>
      <c r="F522" s="35"/>
      <c r="G522" s="35"/>
    </row>
    <row r="523" spans="3:7">
      <c r="C523" s="34"/>
      <c r="F523" s="35"/>
      <c r="G523" s="35"/>
    </row>
    <row r="524" spans="3:7">
      <c r="C524" s="34"/>
      <c r="F524" s="35"/>
      <c r="G524" s="35"/>
    </row>
    <row r="525" spans="3:7">
      <c r="C525" s="34"/>
      <c r="F525" s="35"/>
      <c r="G525" s="35"/>
    </row>
    <row r="526" spans="3:7">
      <c r="C526" s="34"/>
      <c r="F526" s="35"/>
      <c r="G526" s="35"/>
    </row>
    <row r="527" spans="3:7">
      <c r="C527" s="34"/>
      <c r="F527" s="35"/>
      <c r="G527" s="35"/>
    </row>
    <row r="528" spans="3:7">
      <c r="C528" s="34"/>
      <c r="F528" s="35"/>
      <c r="G528" s="35"/>
    </row>
    <row r="529" spans="3:7">
      <c r="C529" s="34"/>
      <c r="F529" s="35"/>
      <c r="G529" s="35"/>
    </row>
    <row r="530" spans="3:7">
      <c r="C530" s="34"/>
      <c r="F530" s="35"/>
      <c r="G530" s="35"/>
    </row>
    <row r="531" spans="3:7">
      <c r="C531" s="34"/>
      <c r="F531" s="35"/>
      <c r="G531" s="35"/>
    </row>
    <row r="532" spans="3:7">
      <c r="C532" s="34"/>
      <c r="F532" s="35"/>
      <c r="G532" s="35"/>
    </row>
    <row r="533" spans="3:7">
      <c r="C533" s="34"/>
      <c r="F533" s="35"/>
      <c r="G533" s="35"/>
    </row>
    <row r="534" spans="3:7">
      <c r="C534" s="34"/>
      <c r="F534" s="35"/>
      <c r="G534" s="35"/>
    </row>
    <row r="535" spans="3:7">
      <c r="C535" s="34"/>
      <c r="F535" s="35"/>
      <c r="G535" s="35"/>
    </row>
    <row r="536" spans="3:7">
      <c r="C536" s="34"/>
      <c r="F536" s="35"/>
      <c r="G536" s="35"/>
    </row>
    <row r="537" spans="3:7">
      <c r="C537" s="34"/>
      <c r="F537" s="35"/>
      <c r="G537" s="35"/>
    </row>
    <row r="538" spans="3:7">
      <c r="C538" s="34"/>
      <c r="F538" s="35"/>
      <c r="G538" s="35"/>
    </row>
    <row r="539" spans="3:7">
      <c r="C539" s="34"/>
      <c r="F539" s="35"/>
      <c r="G539" s="35"/>
    </row>
    <row r="540" spans="3:7">
      <c r="C540" s="34"/>
      <c r="F540" s="35"/>
      <c r="G540" s="35"/>
    </row>
    <row r="541" spans="3:7">
      <c r="C541" s="34"/>
      <c r="F541" s="35"/>
      <c r="G541" s="35"/>
    </row>
    <row r="542" spans="3:7">
      <c r="C542" s="34"/>
      <c r="F542" s="35"/>
      <c r="G542" s="35"/>
    </row>
    <row r="543" spans="3:7">
      <c r="C543" s="34"/>
      <c r="F543" s="35"/>
      <c r="G543" s="35"/>
    </row>
    <row r="544" spans="3:7">
      <c r="C544" s="34"/>
      <c r="F544" s="35"/>
      <c r="G544" s="35"/>
    </row>
    <row r="545" spans="3:7">
      <c r="C545" s="34"/>
      <c r="F545" s="35"/>
      <c r="G545" s="35"/>
    </row>
    <row r="546" spans="3:7">
      <c r="C546" s="34"/>
      <c r="F546" s="35"/>
      <c r="G546" s="35"/>
    </row>
    <row r="547" spans="3:7">
      <c r="C547" s="34"/>
      <c r="F547" s="35"/>
      <c r="G547" s="35"/>
    </row>
    <row r="548" spans="3:7">
      <c r="C548" s="34"/>
      <c r="F548" s="35"/>
      <c r="G548" s="35"/>
    </row>
    <row r="549" spans="3:7">
      <c r="C549" s="34"/>
      <c r="F549" s="35"/>
      <c r="G549" s="35"/>
    </row>
    <row r="550" spans="3:7">
      <c r="C550" s="34"/>
      <c r="F550" s="35"/>
      <c r="G550" s="35"/>
    </row>
    <row r="551" spans="3:7">
      <c r="C551" s="34"/>
      <c r="F551" s="35"/>
      <c r="G551" s="35"/>
    </row>
    <row r="552" spans="3:7">
      <c r="C552" s="34"/>
      <c r="F552" s="35"/>
      <c r="G552" s="35"/>
    </row>
    <row r="553" spans="3:7">
      <c r="C553" s="34"/>
      <c r="F553" s="35"/>
      <c r="G553" s="35"/>
    </row>
    <row r="554" spans="3:7">
      <c r="C554" s="34"/>
      <c r="F554" s="35"/>
      <c r="G554" s="35"/>
    </row>
    <row r="555" spans="3:7">
      <c r="C555" s="34"/>
      <c r="F555" s="35"/>
      <c r="G555" s="35"/>
    </row>
    <row r="556" spans="3:7">
      <c r="C556" s="34"/>
      <c r="F556" s="35"/>
      <c r="G556" s="35"/>
    </row>
    <row r="557" spans="3:7">
      <c r="C557" s="34"/>
      <c r="F557" s="35"/>
      <c r="G557" s="35"/>
    </row>
    <row r="558" spans="3:7">
      <c r="C558" s="34"/>
      <c r="F558" s="35"/>
      <c r="G558" s="35"/>
    </row>
    <row r="559" spans="3:7">
      <c r="C559" s="34"/>
      <c r="F559" s="35"/>
      <c r="G559" s="35"/>
    </row>
    <row r="560" spans="3:7">
      <c r="C560" s="34"/>
      <c r="F560" s="35"/>
      <c r="G560" s="35"/>
    </row>
    <row r="561" spans="3:7">
      <c r="C561" s="34"/>
      <c r="F561" s="35"/>
      <c r="G561" s="35"/>
    </row>
    <row r="562" spans="3:7">
      <c r="C562" s="34"/>
      <c r="F562" s="35"/>
      <c r="G562" s="35"/>
    </row>
    <row r="563" spans="3:7">
      <c r="C563" s="34"/>
      <c r="F563" s="35"/>
      <c r="G563" s="35"/>
    </row>
    <row r="564" spans="3:7">
      <c r="C564" s="34"/>
      <c r="F564" s="35"/>
      <c r="G564" s="35"/>
    </row>
    <row r="565" spans="3:7">
      <c r="C565" s="34"/>
      <c r="F565" s="35"/>
      <c r="G565" s="35"/>
    </row>
    <row r="566" spans="3:7">
      <c r="C566" s="34"/>
      <c r="F566" s="35"/>
      <c r="G566" s="35"/>
    </row>
    <row r="567" spans="3:7">
      <c r="C567" s="27"/>
      <c r="F567" s="30"/>
      <c r="G567" s="30"/>
    </row>
    <row r="568" spans="3:7">
      <c r="C568" s="27"/>
      <c r="F568" s="30"/>
      <c r="G568" s="30"/>
    </row>
    <row r="569" spans="3:7">
      <c r="C569" s="27"/>
      <c r="F569" s="30"/>
      <c r="G569" s="30"/>
    </row>
    <row r="570" spans="3:7">
      <c r="C570" s="27"/>
      <c r="F570" s="30"/>
      <c r="G570" s="30"/>
    </row>
    <row r="571" spans="3:7">
      <c r="C571" s="27"/>
      <c r="F571" s="30"/>
      <c r="G571" s="30"/>
    </row>
    <row r="572" spans="3:7">
      <c r="C572" s="27"/>
      <c r="F572" s="30"/>
      <c r="G572" s="30"/>
    </row>
    <row r="573" spans="3:7">
      <c r="C573" s="27"/>
      <c r="F573" s="30"/>
      <c r="G573" s="30"/>
    </row>
    <row r="574" spans="3:7">
      <c r="C574" s="27"/>
      <c r="F574" s="30"/>
      <c r="G574" s="30"/>
    </row>
    <row r="575" spans="3:7">
      <c r="C575" s="27"/>
      <c r="F575" s="30"/>
      <c r="G575" s="30"/>
    </row>
    <row r="576" spans="3:7">
      <c r="C576" s="27"/>
      <c r="F576" s="30"/>
      <c r="G576" s="30"/>
    </row>
    <row r="577" spans="3:7">
      <c r="C577" s="27"/>
      <c r="F577" s="30"/>
      <c r="G577" s="30"/>
    </row>
    <row r="578" spans="3:7">
      <c r="C578" s="27"/>
      <c r="F578" s="30"/>
      <c r="G578" s="30"/>
    </row>
    <row r="579" spans="3:7">
      <c r="C579" s="27"/>
      <c r="F579" s="30"/>
      <c r="G579" s="30"/>
    </row>
    <row r="580" spans="3:7">
      <c r="C580" s="27"/>
      <c r="F580" s="30"/>
      <c r="G580" s="30"/>
    </row>
    <row r="581" spans="3:7">
      <c r="C581" s="27"/>
      <c r="F581" s="30"/>
      <c r="G581" s="30"/>
    </row>
    <row r="582" spans="3:7">
      <c r="C582" s="27"/>
      <c r="F582" s="30"/>
      <c r="G582" s="30"/>
    </row>
    <row r="583" spans="3:7">
      <c r="C583" s="27"/>
      <c r="F583" s="30"/>
      <c r="G583" s="30"/>
    </row>
    <row r="584" spans="3:7">
      <c r="C584" s="27"/>
      <c r="F584" s="30"/>
      <c r="G584" s="30"/>
    </row>
    <row r="585" spans="3:7">
      <c r="C585" s="27"/>
      <c r="F585" s="30"/>
      <c r="G585" s="30"/>
    </row>
    <row r="586" spans="3:7">
      <c r="C586" s="27"/>
      <c r="F586" s="30"/>
      <c r="G586" s="30"/>
    </row>
    <row r="587" spans="3:7">
      <c r="C587" s="27"/>
      <c r="F587" s="30"/>
      <c r="G587" s="30"/>
    </row>
    <row r="588" spans="3:7">
      <c r="C588" s="27"/>
      <c r="F588" s="30"/>
      <c r="G588" s="30"/>
    </row>
    <row r="589" spans="3:7">
      <c r="C589" s="27"/>
      <c r="F589" s="30"/>
      <c r="G589" s="30"/>
    </row>
    <row r="590" spans="3:7">
      <c r="C590" s="27"/>
      <c r="F590" s="30"/>
      <c r="G590" s="30"/>
    </row>
    <row r="591" spans="3:7">
      <c r="C591" s="27"/>
      <c r="F591" s="30"/>
      <c r="G591" s="30"/>
    </row>
    <row r="592" spans="3:7">
      <c r="C592" s="27"/>
      <c r="F592" s="30"/>
      <c r="G592" s="30"/>
    </row>
    <row r="593" spans="3:7">
      <c r="C593" s="27"/>
      <c r="F593" s="30"/>
      <c r="G593" s="30"/>
    </row>
    <row r="594" spans="3:7">
      <c r="C594" s="27"/>
      <c r="F594" s="30"/>
      <c r="G594" s="30"/>
    </row>
    <row r="595" spans="3:7">
      <c r="C595" s="27"/>
      <c r="F595" s="30"/>
      <c r="G595" s="30"/>
    </row>
    <row r="596" spans="3:7">
      <c r="C596" s="27"/>
      <c r="F596" s="30"/>
      <c r="G596" s="30"/>
    </row>
    <row r="597" spans="3:7">
      <c r="C597" s="27"/>
      <c r="F597" s="30"/>
      <c r="G597" s="30"/>
    </row>
    <row r="598" spans="3:7">
      <c r="C598" s="27"/>
      <c r="F598" s="30"/>
      <c r="G598" s="30"/>
    </row>
    <row r="599" spans="3:7">
      <c r="C599" s="27"/>
      <c r="F599" s="30"/>
      <c r="G599" s="30"/>
    </row>
    <row r="600" spans="3:7">
      <c r="C600" s="27"/>
      <c r="F600" s="30"/>
      <c r="G600" s="30"/>
    </row>
    <row r="601" spans="3:7">
      <c r="C601" s="27"/>
      <c r="F601" s="30"/>
      <c r="G601" s="30"/>
    </row>
    <row r="602" spans="3:7">
      <c r="C602" s="27"/>
      <c r="F602" s="30"/>
      <c r="G602" s="30"/>
    </row>
    <row r="603" spans="3:7">
      <c r="C603" s="27"/>
      <c r="F603" s="30"/>
      <c r="G603" s="30"/>
    </row>
    <row r="604" spans="3:7">
      <c r="C604" s="27"/>
      <c r="F604" s="30"/>
      <c r="G604" s="30"/>
    </row>
    <row r="605" spans="3:7">
      <c r="C605" s="27"/>
      <c r="F605" s="30"/>
      <c r="G605" s="30"/>
    </row>
    <row r="606" spans="3:7">
      <c r="C606" s="27"/>
      <c r="F606" s="30"/>
      <c r="G606" s="30"/>
    </row>
    <row r="607" spans="3:7">
      <c r="C607" s="27"/>
      <c r="F607" s="30"/>
      <c r="G607" s="30"/>
    </row>
    <row r="608" spans="3:7">
      <c r="C608" s="27"/>
      <c r="F608" s="30"/>
      <c r="G608" s="30"/>
    </row>
    <row r="609" spans="3:7">
      <c r="C609" s="27"/>
      <c r="F609" s="30"/>
      <c r="G609" s="30"/>
    </row>
    <row r="610" spans="3:7">
      <c r="C610" s="27"/>
      <c r="F610" s="30"/>
      <c r="G610" s="30"/>
    </row>
    <row r="611" spans="3:7">
      <c r="C611" s="27"/>
      <c r="F611" s="30"/>
      <c r="G611" s="30"/>
    </row>
    <row r="612" spans="3:7">
      <c r="C612" s="27"/>
      <c r="F612" s="30"/>
      <c r="G612" s="30"/>
    </row>
    <row r="613" spans="3:7">
      <c r="C613" s="27"/>
      <c r="F613" s="30"/>
      <c r="G613" s="30"/>
    </row>
    <row r="614" spans="3:7">
      <c r="C614" s="27"/>
      <c r="F614" s="30"/>
      <c r="G614" s="30"/>
    </row>
    <row r="615" spans="3:7">
      <c r="C615" s="27"/>
      <c r="F615" s="30"/>
      <c r="G615" s="30"/>
    </row>
    <row r="616" spans="3:7">
      <c r="C616" s="27"/>
      <c r="F616" s="30"/>
      <c r="G616" s="30"/>
    </row>
    <row r="617" spans="3:7">
      <c r="C617" s="27"/>
      <c r="F617" s="30"/>
      <c r="G617" s="30"/>
    </row>
    <row r="618" spans="3:7">
      <c r="C618" s="27"/>
      <c r="F618" s="30"/>
      <c r="G618" s="30"/>
    </row>
    <row r="619" spans="3:7">
      <c r="C619" s="27"/>
      <c r="F619" s="30"/>
      <c r="G619" s="30"/>
    </row>
    <row r="620" spans="3:7">
      <c r="C620" s="27"/>
      <c r="F620" s="30"/>
      <c r="G620" s="30"/>
    </row>
    <row r="621" spans="3:7">
      <c r="C621" s="27"/>
      <c r="F621" s="30"/>
      <c r="G621" s="30"/>
    </row>
    <row r="622" spans="3:7">
      <c r="C622" s="27"/>
      <c r="F622" s="30"/>
      <c r="G622" s="30"/>
    </row>
    <row r="623" spans="3:7">
      <c r="C623" s="27"/>
      <c r="F623" s="30"/>
      <c r="G623" s="30"/>
    </row>
    <row r="624" spans="3:7">
      <c r="C624" s="27"/>
      <c r="F624" s="30"/>
      <c r="G624" s="30"/>
    </row>
    <row r="625" spans="3:7">
      <c r="C625" s="27"/>
      <c r="F625" s="30"/>
      <c r="G625" s="30"/>
    </row>
    <row r="626" spans="3:7">
      <c r="C626" s="27"/>
      <c r="F626" s="30"/>
      <c r="G626" s="30"/>
    </row>
    <row r="627" spans="3:7">
      <c r="C627" s="27"/>
      <c r="F627" s="30"/>
      <c r="G627" s="30"/>
    </row>
    <row r="628" spans="3:7">
      <c r="C628" s="27"/>
      <c r="F628" s="30"/>
      <c r="G628" s="30"/>
    </row>
    <row r="629" spans="3:7">
      <c r="C629" s="27"/>
      <c r="F629" s="30"/>
      <c r="G629" s="30"/>
    </row>
    <row r="630" spans="3:7">
      <c r="C630" s="27"/>
      <c r="F630" s="30"/>
      <c r="G630" s="30"/>
    </row>
    <row r="631" spans="3:7">
      <c r="C631" s="27"/>
      <c r="F631" s="30"/>
      <c r="G631" s="30"/>
    </row>
    <row r="632" spans="3:7">
      <c r="C632" s="27"/>
      <c r="F632" s="30"/>
      <c r="G632" s="30"/>
    </row>
    <row r="633" spans="3:7">
      <c r="C633" s="27"/>
      <c r="F633" s="30"/>
      <c r="G633" s="30"/>
    </row>
    <row r="634" spans="3:7">
      <c r="C634" s="27"/>
      <c r="F634" s="30"/>
      <c r="G634" s="30"/>
    </row>
    <row r="635" spans="3:7">
      <c r="C635" s="27"/>
      <c r="F635" s="30"/>
      <c r="G635" s="30"/>
    </row>
    <row r="636" spans="3:7">
      <c r="C636" s="27"/>
      <c r="F636" s="30"/>
      <c r="G636" s="30"/>
    </row>
    <row r="637" spans="3:7">
      <c r="C637" s="27"/>
      <c r="F637" s="30"/>
      <c r="G637" s="30"/>
    </row>
    <row r="638" spans="3:7">
      <c r="C638" s="27"/>
      <c r="F638" s="30"/>
      <c r="G638" s="30"/>
    </row>
    <row r="639" spans="3:7">
      <c r="C639" s="27"/>
      <c r="F639" s="30"/>
      <c r="G639" s="30"/>
    </row>
    <row r="640" spans="3:7">
      <c r="C640" s="27"/>
      <c r="F640" s="30"/>
      <c r="G640" s="30"/>
    </row>
    <row r="641" spans="3:7">
      <c r="C641" s="27"/>
      <c r="F641" s="30"/>
      <c r="G641" s="30"/>
    </row>
    <row r="642" spans="3:7">
      <c r="C642" s="27"/>
      <c r="F642" s="30"/>
      <c r="G642" s="30"/>
    </row>
    <row r="643" spans="3:7">
      <c r="C643" s="27"/>
      <c r="F643" s="30"/>
      <c r="G643" s="30"/>
    </row>
    <row r="644" spans="3:7">
      <c r="C644" s="27"/>
      <c r="F644" s="30"/>
      <c r="G644" s="30"/>
    </row>
    <row r="645" spans="3:7">
      <c r="C645" s="27"/>
      <c r="F645" s="30"/>
      <c r="G645" s="30"/>
    </row>
    <row r="646" spans="3:7">
      <c r="C646" s="27"/>
      <c r="F646" s="30"/>
      <c r="G646" s="30"/>
    </row>
    <row r="647" spans="3:7">
      <c r="C647" s="27"/>
      <c r="F647" s="30"/>
      <c r="G647" s="30"/>
    </row>
    <row r="648" spans="3:7">
      <c r="C648" s="27"/>
      <c r="F648" s="30"/>
      <c r="G648" s="30"/>
    </row>
    <row r="649" spans="3:7">
      <c r="C649" s="27"/>
      <c r="F649" s="30"/>
      <c r="G649" s="30"/>
    </row>
    <row r="650" spans="3:7">
      <c r="C650" s="27"/>
      <c r="F650" s="30"/>
      <c r="G650" s="30"/>
    </row>
    <row r="651" spans="3:7">
      <c r="C651" s="27"/>
      <c r="F651" s="30"/>
      <c r="G651" s="30"/>
    </row>
    <row r="652" spans="3:7">
      <c r="C652" s="27"/>
      <c r="F652" s="30"/>
      <c r="G652" s="30"/>
    </row>
    <row r="653" spans="3:7">
      <c r="C653" s="27"/>
      <c r="F653" s="30"/>
      <c r="G653" s="30"/>
    </row>
    <row r="654" spans="3:7">
      <c r="C654" s="27"/>
      <c r="F654" s="30"/>
      <c r="G654" s="30"/>
    </row>
    <row r="655" spans="3:7">
      <c r="C655" s="27"/>
      <c r="F655" s="30"/>
      <c r="G655" s="30"/>
    </row>
    <row r="656" spans="3:7">
      <c r="C656" s="27"/>
      <c r="F656" s="30"/>
      <c r="G656" s="30"/>
    </row>
    <row r="657" spans="3:7">
      <c r="C657" s="27"/>
      <c r="F657" s="30"/>
      <c r="G657" s="30"/>
    </row>
    <row r="658" spans="3:7">
      <c r="C658" s="27"/>
      <c r="F658" s="30"/>
      <c r="G658" s="30"/>
    </row>
    <row r="659" spans="3:7">
      <c r="C659" s="27"/>
      <c r="F659" s="30"/>
      <c r="G659" s="30"/>
    </row>
    <row r="660" spans="3:7">
      <c r="C660" s="27"/>
      <c r="F660" s="30"/>
      <c r="G660" s="30"/>
    </row>
    <row r="661" spans="3:7">
      <c r="C661" s="27"/>
      <c r="F661" s="30"/>
      <c r="G661" s="30"/>
    </row>
    <row r="662" spans="3:7">
      <c r="C662" s="27"/>
      <c r="F662" s="30"/>
      <c r="G662" s="30"/>
    </row>
    <row r="663" spans="3:7">
      <c r="C663" s="27"/>
      <c r="F663" s="30"/>
      <c r="G663" s="30"/>
    </row>
    <row r="664" spans="3:7">
      <c r="C664" s="27"/>
      <c r="F664" s="30"/>
      <c r="G664" s="30"/>
    </row>
    <row r="665" spans="3:7">
      <c r="C665" s="27"/>
      <c r="F665" s="30"/>
      <c r="G665" s="30"/>
    </row>
    <row r="666" spans="3:7">
      <c r="C666" s="27"/>
      <c r="F666" s="30"/>
      <c r="G666" s="30"/>
    </row>
    <row r="667" spans="3:7">
      <c r="C667" s="27"/>
      <c r="F667" s="30"/>
      <c r="G667" s="30"/>
    </row>
    <row r="668" spans="3:7">
      <c r="C668" s="27"/>
      <c r="F668" s="30"/>
      <c r="G668" s="30"/>
    </row>
    <row r="669" spans="3:7">
      <c r="C669" s="27"/>
      <c r="F669" s="30"/>
      <c r="G669" s="30"/>
    </row>
    <row r="670" spans="3:7">
      <c r="C670" s="27"/>
      <c r="F670" s="30"/>
      <c r="G670" s="30"/>
    </row>
    <row r="671" spans="3:7">
      <c r="C671" s="27"/>
      <c r="F671" s="30"/>
      <c r="G671" s="30"/>
    </row>
    <row r="672" spans="3:7">
      <c r="C672" s="27"/>
      <c r="F672" s="30"/>
      <c r="G672" s="30"/>
    </row>
    <row r="673" spans="3:7">
      <c r="C673" s="27"/>
      <c r="F673" s="30"/>
      <c r="G673" s="30"/>
    </row>
    <row r="674" spans="3:7">
      <c r="C674" s="27"/>
      <c r="F674" s="30"/>
      <c r="G674" s="30"/>
    </row>
    <row r="675" spans="3:7">
      <c r="C675" s="27"/>
      <c r="F675" s="30"/>
      <c r="G675" s="30"/>
    </row>
    <row r="676" spans="3:7">
      <c r="C676" s="27"/>
      <c r="F676" s="30"/>
      <c r="G676" s="30"/>
    </row>
    <row r="677" spans="3:7">
      <c r="C677" s="27"/>
      <c r="F677" s="30"/>
      <c r="G677" s="30"/>
    </row>
    <row r="678" spans="3:7">
      <c r="C678" s="27"/>
      <c r="F678" s="30"/>
      <c r="G678" s="30"/>
    </row>
    <row r="679" spans="3:7">
      <c r="C679" s="27"/>
      <c r="F679" s="30"/>
      <c r="G679" s="30"/>
    </row>
    <row r="680" spans="3:7">
      <c r="C680" s="27"/>
      <c r="F680" s="30"/>
      <c r="G680" s="30"/>
    </row>
    <row r="681" spans="3:7">
      <c r="C681" s="27"/>
      <c r="F681" s="30"/>
      <c r="G681" s="30"/>
    </row>
    <row r="682" spans="3:7">
      <c r="C682" s="27"/>
      <c r="F682" s="30"/>
      <c r="G682" s="30"/>
    </row>
    <row r="683" spans="3:7">
      <c r="C683" s="27"/>
      <c r="F683" s="30"/>
      <c r="G683" s="30"/>
    </row>
    <row r="684" spans="3:7">
      <c r="C684" s="27"/>
      <c r="F684" s="30"/>
      <c r="G684" s="30"/>
    </row>
    <row r="685" spans="3:7">
      <c r="C685" s="27"/>
      <c r="F685" s="30"/>
      <c r="G685" s="30"/>
    </row>
    <row r="686" spans="3:7">
      <c r="C686" s="27"/>
      <c r="F686" s="30"/>
      <c r="G686" s="30"/>
    </row>
    <row r="687" spans="3:7">
      <c r="C687" s="27"/>
      <c r="F687" s="30"/>
      <c r="G687" s="30"/>
    </row>
    <row r="688" spans="3:7">
      <c r="C688" s="27"/>
      <c r="F688" s="30"/>
      <c r="G688" s="30"/>
    </row>
    <row r="689" spans="3:7">
      <c r="C689" s="27"/>
      <c r="F689" s="30"/>
      <c r="G689" s="30"/>
    </row>
    <row r="690" spans="3:7">
      <c r="C690" s="27"/>
      <c r="F690" s="30"/>
      <c r="G690" s="30"/>
    </row>
    <row r="691" spans="3:7">
      <c r="C691" s="27"/>
      <c r="F691" s="30"/>
      <c r="G691" s="30"/>
    </row>
    <row r="692" spans="3:7">
      <c r="C692" s="27"/>
      <c r="F692" s="30"/>
      <c r="G692" s="30"/>
    </row>
    <row r="693" spans="3:7">
      <c r="C693" s="27"/>
      <c r="F693" s="30"/>
      <c r="G693" s="30"/>
    </row>
    <row r="694" spans="3:7">
      <c r="C694" s="27"/>
      <c r="F694" s="30"/>
      <c r="G694" s="30"/>
    </row>
    <row r="695" spans="3:7">
      <c r="C695" s="27"/>
      <c r="F695" s="30"/>
      <c r="G695" s="30"/>
    </row>
    <row r="696" spans="3:7">
      <c r="C696" s="27"/>
      <c r="F696" s="30"/>
      <c r="G696" s="30"/>
    </row>
    <row r="697" spans="3:7">
      <c r="C697" s="27"/>
      <c r="F697" s="30"/>
      <c r="G697" s="30"/>
    </row>
    <row r="698" spans="3:7">
      <c r="C698" s="27"/>
      <c r="F698" s="30"/>
      <c r="G698" s="30"/>
    </row>
    <row r="699" spans="3:7">
      <c r="C699" s="27"/>
      <c r="F699" s="30"/>
      <c r="G699" s="30"/>
    </row>
    <row r="700" spans="3:7">
      <c r="C700" s="27"/>
      <c r="F700" s="30"/>
      <c r="G700" s="30"/>
    </row>
    <row r="701" spans="3:7">
      <c r="C701" s="27"/>
      <c r="F701" s="30"/>
      <c r="G701" s="30"/>
    </row>
    <row r="702" spans="3:7">
      <c r="C702" s="27"/>
      <c r="F702" s="30"/>
      <c r="G702" s="30"/>
    </row>
    <row r="703" spans="3:7">
      <c r="C703" s="27"/>
      <c r="F703" s="30"/>
      <c r="G703" s="30"/>
    </row>
    <row r="704" spans="3:7">
      <c r="C704" s="27"/>
      <c r="F704" s="30"/>
      <c r="G704" s="30"/>
    </row>
    <row r="705" spans="3:7">
      <c r="C705" s="27"/>
      <c r="F705" s="30"/>
      <c r="G705" s="30"/>
    </row>
    <row r="706" spans="3:7">
      <c r="C706" s="27"/>
      <c r="F706" s="30"/>
      <c r="G706" s="30"/>
    </row>
    <row r="707" spans="3:7">
      <c r="C707" s="27"/>
      <c r="F707" s="30"/>
      <c r="G707" s="30"/>
    </row>
    <row r="708" spans="3:7">
      <c r="C708" s="27"/>
      <c r="F708" s="30"/>
      <c r="G708" s="30"/>
    </row>
    <row r="709" spans="3:7">
      <c r="C709" s="27"/>
      <c r="F709" s="30"/>
      <c r="G709" s="30"/>
    </row>
    <row r="710" spans="3:7">
      <c r="C710" s="27"/>
      <c r="F710" s="30"/>
      <c r="G710" s="30"/>
    </row>
    <row r="711" spans="3:7">
      <c r="C711" s="27"/>
      <c r="F711" s="30"/>
      <c r="G711" s="30"/>
    </row>
    <row r="712" spans="3:7">
      <c r="C712" s="27"/>
      <c r="F712" s="30"/>
      <c r="G712" s="30"/>
    </row>
    <row r="713" spans="3:7">
      <c r="C713" s="27"/>
      <c r="F713" s="30"/>
      <c r="G713" s="30"/>
    </row>
    <row r="714" spans="3:7">
      <c r="C714" s="27"/>
      <c r="F714" s="30"/>
      <c r="G714" s="30"/>
    </row>
    <row r="715" spans="3:7">
      <c r="C715" s="27"/>
      <c r="F715" s="30"/>
      <c r="G715" s="30"/>
    </row>
    <row r="716" spans="3:7">
      <c r="C716" s="27"/>
      <c r="F716" s="30"/>
      <c r="G716" s="30"/>
    </row>
    <row r="717" spans="3:7">
      <c r="C717" s="27"/>
      <c r="F717" s="30"/>
      <c r="G717" s="30"/>
    </row>
    <row r="718" spans="3:7">
      <c r="C718" s="27"/>
      <c r="F718" s="30"/>
      <c r="G718" s="30"/>
    </row>
    <row r="719" spans="3:7">
      <c r="C719" s="27"/>
      <c r="F719" s="30"/>
      <c r="G719" s="30"/>
    </row>
    <row r="720" spans="3:7">
      <c r="C720" s="27"/>
      <c r="F720" s="30"/>
      <c r="G720" s="30"/>
    </row>
    <row r="721" spans="3:7">
      <c r="C721" s="27"/>
      <c r="F721" s="30"/>
      <c r="G721" s="30"/>
    </row>
    <row r="722" spans="3:7">
      <c r="C722" s="27"/>
      <c r="F722" s="30"/>
      <c r="G722" s="30"/>
    </row>
    <row r="723" spans="3:7">
      <c r="C723" s="27"/>
      <c r="F723" s="30"/>
      <c r="G723" s="30"/>
    </row>
    <row r="724" spans="3:7">
      <c r="C724" s="27"/>
      <c r="F724" s="30"/>
      <c r="G724" s="30"/>
    </row>
    <row r="725" spans="3:7">
      <c r="C725" s="27"/>
      <c r="F725" s="30"/>
      <c r="G725" s="30"/>
    </row>
    <row r="726" spans="3:7">
      <c r="C726" s="27"/>
      <c r="F726" s="30"/>
      <c r="G726" s="30"/>
    </row>
    <row r="727" spans="3:7">
      <c r="C727" s="27"/>
      <c r="F727" s="30"/>
      <c r="G727" s="30"/>
    </row>
    <row r="728" spans="3:7">
      <c r="C728" s="27"/>
      <c r="F728" s="30"/>
      <c r="G728" s="30"/>
    </row>
    <row r="729" spans="3:7">
      <c r="C729" s="27"/>
      <c r="F729" s="30"/>
      <c r="G729" s="30"/>
    </row>
    <row r="730" spans="3:7">
      <c r="C730" s="27"/>
      <c r="F730" s="30"/>
      <c r="G730" s="30"/>
    </row>
    <row r="731" spans="3:7">
      <c r="C731" s="27"/>
      <c r="F731" s="30"/>
      <c r="G731" s="30"/>
    </row>
    <row r="732" spans="3:7">
      <c r="C732" s="27"/>
      <c r="F732" s="30"/>
      <c r="G732" s="30"/>
    </row>
    <row r="733" spans="3:7">
      <c r="C733" s="27"/>
      <c r="F733" s="30"/>
      <c r="G733" s="30"/>
    </row>
    <row r="734" spans="3:7">
      <c r="C734" s="27"/>
      <c r="F734" s="30"/>
      <c r="G734" s="30"/>
    </row>
    <row r="735" spans="3:7">
      <c r="C735" s="27"/>
      <c r="F735" s="30"/>
      <c r="G735" s="30"/>
    </row>
    <row r="736" spans="3:7">
      <c r="C736" s="27"/>
      <c r="F736" s="30"/>
      <c r="G736" s="30"/>
    </row>
    <row r="737" spans="3:7">
      <c r="C737" s="27"/>
      <c r="F737" s="30"/>
      <c r="G737" s="30"/>
    </row>
    <row r="738" spans="3:7">
      <c r="C738" s="27"/>
      <c r="F738" s="30"/>
      <c r="G738" s="30"/>
    </row>
    <row r="739" spans="3:7">
      <c r="C739" s="27"/>
      <c r="F739" s="30"/>
      <c r="G739" s="30"/>
    </row>
    <row r="740" spans="3:7">
      <c r="C740" s="27"/>
      <c r="F740" s="30"/>
      <c r="G740" s="30"/>
    </row>
    <row r="741" spans="3:7">
      <c r="C741" s="27"/>
      <c r="F741" s="30"/>
      <c r="G741" s="30"/>
    </row>
    <row r="742" spans="3:7">
      <c r="C742" s="27"/>
      <c r="F742" s="30"/>
      <c r="G742" s="30"/>
    </row>
    <row r="743" spans="3:7">
      <c r="C743" s="27"/>
      <c r="F743" s="30"/>
      <c r="G743" s="30"/>
    </row>
    <row r="744" spans="3:7">
      <c r="C744" s="27"/>
      <c r="F744" s="30"/>
      <c r="G744" s="30"/>
    </row>
    <row r="745" spans="3:7">
      <c r="C745" s="27"/>
      <c r="F745" s="30"/>
      <c r="G745" s="30"/>
    </row>
    <row r="746" spans="3:7">
      <c r="C746" s="27"/>
      <c r="F746" s="30"/>
      <c r="G746" s="30"/>
    </row>
    <row r="747" spans="3:7">
      <c r="C747" s="27"/>
      <c r="F747" s="30"/>
      <c r="G747" s="30"/>
    </row>
    <row r="748" spans="3:7">
      <c r="C748" s="27"/>
      <c r="F748" s="30"/>
      <c r="G748" s="30"/>
    </row>
    <row r="749" spans="3:7">
      <c r="C749" s="27"/>
      <c r="F749" s="30"/>
      <c r="G749" s="30"/>
    </row>
    <row r="750" spans="3:7">
      <c r="C750" s="27"/>
      <c r="F750" s="30"/>
      <c r="G750" s="30"/>
    </row>
    <row r="751" spans="3:7">
      <c r="C751" s="27"/>
      <c r="F751" s="30"/>
      <c r="G751" s="30"/>
    </row>
    <row r="752" spans="3:7">
      <c r="C752" s="27"/>
      <c r="F752" s="30"/>
      <c r="G752" s="30"/>
    </row>
    <row r="753" spans="3:7">
      <c r="C753" s="27"/>
      <c r="F753" s="30"/>
      <c r="G753" s="30"/>
    </row>
    <row r="754" spans="3:7">
      <c r="C754" s="27"/>
      <c r="F754" s="30"/>
      <c r="G754" s="30"/>
    </row>
    <row r="755" spans="3:7">
      <c r="C755" s="27"/>
      <c r="F755" s="30"/>
      <c r="G755" s="30"/>
    </row>
    <row r="756" spans="3:7">
      <c r="C756" s="27"/>
      <c r="F756" s="30"/>
      <c r="G756" s="30"/>
    </row>
    <row r="757" spans="3:7">
      <c r="C757" s="27"/>
      <c r="F757" s="30"/>
      <c r="G757" s="30"/>
    </row>
    <row r="758" spans="3:7">
      <c r="C758" s="27"/>
      <c r="F758" s="30"/>
      <c r="G758" s="30"/>
    </row>
    <row r="759" spans="3:7">
      <c r="C759" s="27"/>
      <c r="F759" s="30"/>
      <c r="G759" s="30"/>
    </row>
    <row r="760" spans="3:7">
      <c r="C760" s="27"/>
      <c r="F760" s="30"/>
      <c r="G760" s="30"/>
    </row>
    <row r="761" spans="3:7">
      <c r="C761" s="27"/>
      <c r="F761" s="30"/>
      <c r="G761" s="30"/>
    </row>
    <row r="762" spans="3:7">
      <c r="C762" s="27"/>
      <c r="F762" s="30"/>
      <c r="G762" s="30"/>
    </row>
    <row r="763" spans="3:7">
      <c r="C763" s="27"/>
      <c r="F763" s="30"/>
      <c r="G763" s="30"/>
    </row>
    <row r="764" spans="3:7">
      <c r="C764" s="27"/>
      <c r="F764" s="30"/>
      <c r="G764" s="30"/>
    </row>
    <row r="765" spans="3:7">
      <c r="C765" s="27"/>
      <c r="F765" s="30"/>
      <c r="G765" s="30"/>
    </row>
    <row r="766" spans="3:7">
      <c r="C766" s="27"/>
      <c r="F766" s="30"/>
      <c r="G766" s="30"/>
    </row>
    <row r="767" spans="3:7">
      <c r="C767" s="27"/>
      <c r="F767" s="30"/>
      <c r="G767" s="30"/>
    </row>
    <row r="768" spans="3:7">
      <c r="C768" s="27"/>
      <c r="F768" s="30"/>
      <c r="G768" s="30"/>
    </row>
    <row r="769" spans="3:7">
      <c r="C769" s="27"/>
      <c r="F769" s="30"/>
      <c r="G769" s="30"/>
    </row>
    <row r="770" spans="3:7">
      <c r="C770" s="27"/>
      <c r="F770" s="30"/>
      <c r="G770" s="30"/>
    </row>
    <row r="771" spans="3:7">
      <c r="C771" s="27"/>
      <c r="F771" s="30"/>
      <c r="G771" s="30"/>
    </row>
    <row r="772" spans="3:7">
      <c r="C772" s="27"/>
      <c r="F772" s="30"/>
      <c r="G772" s="30"/>
    </row>
    <row r="773" spans="3:7">
      <c r="C773" s="27"/>
      <c r="F773" s="30"/>
      <c r="G773" s="30"/>
    </row>
    <row r="774" spans="3:7">
      <c r="C774" s="27"/>
      <c r="F774" s="30"/>
      <c r="G774" s="30"/>
    </row>
    <row r="775" spans="3:7">
      <c r="C775" s="27"/>
      <c r="F775" s="30"/>
      <c r="G775" s="30"/>
    </row>
    <row r="776" spans="3:7">
      <c r="C776" s="27"/>
      <c r="F776" s="30"/>
      <c r="G776" s="30"/>
    </row>
    <row r="777" spans="3:7">
      <c r="C777" s="27"/>
      <c r="F777" s="30"/>
      <c r="G777" s="30"/>
    </row>
    <row r="778" spans="3:7">
      <c r="C778" s="27"/>
      <c r="F778" s="30"/>
      <c r="G778" s="30"/>
    </row>
    <row r="779" spans="3:7">
      <c r="C779" s="27"/>
      <c r="F779" s="30"/>
      <c r="G779" s="30"/>
    </row>
    <row r="780" spans="3:7">
      <c r="C780" s="27"/>
      <c r="F780" s="30"/>
      <c r="G780" s="30"/>
    </row>
    <row r="781" spans="3:7">
      <c r="C781" s="27"/>
      <c r="F781" s="30"/>
      <c r="G781" s="30"/>
    </row>
    <row r="782" spans="3:7">
      <c r="C782" s="27"/>
      <c r="F782" s="30"/>
      <c r="G782" s="30"/>
    </row>
    <row r="783" spans="3:7">
      <c r="C783" s="27"/>
      <c r="F783" s="30"/>
      <c r="G783" s="30"/>
    </row>
    <row r="784" spans="3:7">
      <c r="C784" s="27"/>
      <c r="F784" s="30"/>
      <c r="G784" s="30"/>
    </row>
    <row r="785" spans="3:7">
      <c r="C785" s="27"/>
      <c r="F785" s="30"/>
      <c r="G785" s="30"/>
    </row>
    <row r="786" spans="3:7">
      <c r="C786" s="27"/>
      <c r="F786" s="30"/>
      <c r="G786" s="30"/>
    </row>
    <row r="787" spans="3:7">
      <c r="C787" s="27"/>
      <c r="F787" s="30"/>
      <c r="G787" s="30"/>
    </row>
    <row r="788" spans="3:7">
      <c r="C788" s="27"/>
      <c r="F788" s="30"/>
      <c r="G788" s="30"/>
    </row>
    <row r="789" spans="3:7">
      <c r="C789" s="27"/>
      <c r="F789" s="30"/>
      <c r="G789" s="30"/>
    </row>
    <row r="790" spans="3:7">
      <c r="C790" s="27"/>
      <c r="F790" s="30"/>
      <c r="G790" s="30"/>
    </row>
    <row r="791" spans="3:7">
      <c r="C791" s="27"/>
      <c r="F791" s="30"/>
      <c r="G791" s="30"/>
    </row>
    <row r="792" spans="3:7">
      <c r="C792" s="27"/>
      <c r="F792" s="30"/>
      <c r="G792" s="30"/>
    </row>
    <row r="793" spans="3:7">
      <c r="C793" s="27"/>
      <c r="F793" s="30"/>
      <c r="G793" s="30"/>
    </row>
    <row r="794" spans="3:7">
      <c r="C794" s="27"/>
      <c r="F794" s="30"/>
      <c r="G794" s="30"/>
    </row>
    <row r="795" spans="3:7">
      <c r="C795" s="27"/>
      <c r="F795" s="30"/>
      <c r="G795" s="30"/>
    </row>
    <row r="796" spans="3:7">
      <c r="C796" s="27"/>
      <c r="F796" s="30"/>
      <c r="G796" s="30"/>
    </row>
    <row r="797" spans="3:7">
      <c r="C797" s="27"/>
      <c r="F797" s="30"/>
      <c r="G797" s="30"/>
    </row>
    <row r="798" spans="3:7">
      <c r="C798" s="27"/>
      <c r="F798" s="30"/>
      <c r="G798" s="30"/>
    </row>
    <row r="799" spans="3:7">
      <c r="C799" s="27"/>
      <c r="F799" s="30"/>
      <c r="G799" s="30"/>
    </row>
    <row r="800" spans="3:7">
      <c r="C800" s="27"/>
      <c r="F800" s="30"/>
      <c r="G800" s="30"/>
    </row>
    <row r="801" spans="3:7">
      <c r="C801" s="27"/>
      <c r="F801" s="30"/>
      <c r="G801" s="30"/>
    </row>
    <row r="802" spans="3:7">
      <c r="C802" s="27"/>
      <c r="F802" s="30"/>
      <c r="G802" s="30"/>
    </row>
    <row r="803" spans="3:7">
      <c r="C803" s="27"/>
      <c r="F803" s="30"/>
      <c r="G803" s="30"/>
    </row>
    <row r="804" spans="3:7">
      <c r="C804" s="27"/>
      <c r="F804" s="30"/>
      <c r="G804" s="30"/>
    </row>
    <row r="805" spans="3:7">
      <c r="C805" s="27"/>
      <c r="F805" s="30"/>
      <c r="G805" s="30"/>
    </row>
    <row r="806" spans="3:7">
      <c r="C806" s="27"/>
      <c r="F806" s="30"/>
      <c r="G806" s="30"/>
    </row>
    <row r="807" spans="3:7">
      <c r="C807" s="27"/>
      <c r="F807" s="30"/>
      <c r="G807" s="30"/>
    </row>
    <row r="808" spans="3:7">
      <c r="C808" s="27"/>
      <c r="F808" s="30"/>
      <c r="G808" s="30"/>
    </row>
    <row r="809" spans="3:7">
      <c r="C809" s="27"/>
      <c r="F809" s="30"/>
      <c r="G809" s="30"/>
    </row>
    <row r="810" spans="3:7">
      <c r="C810" s="27"/>
      <c r="F810" s="30"/>
      <c r="G810" s="30"/>
    </row>
    <row r="811" spans="3:7">
      <c r="C811" s="27"/>
      <c r="F811" s="30"/>
      <c r="G811" s="30"/>
    </row>
    <row r="812" spans="3:7">
      <c r="C812" s="27"/>
      <c r="F812" s="30"/>
      <c r="G812" s="30"/>
    </row>
    <row r="813" spans="3:7">
      <c r="C813" s="27"/>
      <c r="F813" s="30"/>
      <c r="G813" s="30"/>
    </row>
    <row r="814" spans="3:7">
      <c r="C814" s="27"/>
      <c r="F814" s="30"/>
      <c r="G814" s="30"/>
    </row>
    <row r="815" spans="3:7">
      <c r="C815" s="27"/>
      <c r="F815" s="30"/>
      <c r="G815" s="30"/>
    </row>
    <row r="816" spans="3:7">
      <c r="C816" s="27"/>
      <c r="F816" s="30"/>
      <c r="G816" s="30"/>
    </row>
    <row r="817" spans="3:7">
      <c r="C817" s="27"/>
      <c r="F817" s="30"/>
      <c r="G817" s="30"/>
    </row>
    <row r="818" spans="3:7">
      <c r="C818" s="27"/>
      <c r="F818" s="30"/>
      <c r="G818" s="30"/>
    </row>
    <row r="819" spans="3:7">
      <c r="C819" s="27"/>
      <c r="F819" s="30"/>
      <c r="G819" s="30"/>
    </row>
    <row r="820" spans="3:7">
      <c r="C820" s="27"/>
      <c r="F820" s="30"/>
      <c r="G820" s="30"/>
    </row>
    <row r="821" spans="3:7">
      <c r="C821" s="27"/>
      <c r="F821" s="30"/>
      <c r="G821" s="30"/>
    </row>
    <row r="822" spans="3:7">
      <c r="C822" s="27"/>
      <c r="F822" s="30"/>
      <c r="G822" s="30"/>
    </row>
    <row r="823" spans="3:7">
      <c r="C823" s="27"/>
      <c r="F823" s="30"/>
      <c r="G823" s="30"/>
    </row>
    <row r="824" spans="3:7">
      <c r="C824" s="27"/>
      <c r="F824" s="30"/>
      <c r="G824" s="30"/>
    </row>
    <row r="825" spans="3:7">
      <c r="C825" s="27"/>
      <c r="F825" s="30"/>
      <c r="G825" s="30"/>
    </row>
    <row r="826" spans="3:7">
      <c r="C826" s="27"/>
      <c r="F826" s="30"/>
      <c r="G826" s="30"/>
    </row>
    <row r="827" spans="3:7">
      <c r="C827" s="27"/>
      <c r="F827" s="30"/>
      <c r="G827" s="30"/>
    </row>
    <row r="828" spans="3:7">
      <c r="C828" s="27"/>
      <c r="F828" s="30"/>
      <c r="G828" s="30"/>
    </row>
    <row r="829" spans="3:7">
      <c r="C829" s="27"/>
      <c r="F829" s="30"/>
      <c r="G829" s="30"/>
    </row>
    <row r="830" spans="3:7">
      <c r="C830" s="27"/>
      <c r="F830" s="30"/>
      <c r="G830" s="30"/>
    </row>
    <row r="831" spans="3:7">
      <c r="C831" s="27"/>
      <c r="F831" s="30"/>
      <c r="G831" s="30"/>
    </row>
    <row r="832" spans="3:7">
      <c r="C832" s="27"/>
      <c r="F832" s="30"/>
      <c r="G832" s="30"/>
    </row>
    <row r="833" spans="3:7">
      <c r="C833" s="27"/>
      <c r="F833" s="30"/>
      <c r="G833" s="30"/>
    </row>
    <row r="834" spans="3:7">
      <c r="C834" s="27"/>
      <c r="F834" s="30"/>
      <c r="G834" s="30"/>
    </row>
    <row r="835" spans="3:7">
      <c r="C835" s="27"/>
      <c r="F835" s="30"/>
      <c r="G835" s="30"/>
    </row>
    <row r="836" spans="3:7">
      <c r="C836" s="27"/>
      <c r="F836" s="30"/>
      <c r="G836" s="30"/>
    </row>
    <row r="837" spans="3:7">
      <c r="C837" s="27"/>
      <c r="F837" s="30"/>
      <c r="G837" s="30"/>
    </row>
    <row r="838" spans="3:7">
      <c r="C838" s="27"/>
      <c r="F838" s="30"/>
      <c r="G838" s="30"/>
    </row>
    <row r="839" spans="3:7">
      <c r="C839" s="27"/>
      <c r="F839" s="30"/>
      <c r="G839" s="30"/>
    </row>
    <row r="840" spans="3:7">
      <c r="C840" s="27"/>
      <c r="F840" s="30"/>
      <c r="G840" s="30"/>
    </row>
    <row r="841" spans="3:7">
      <c r="C841" s="27"/>
      <c r="F841" s="30"/>
      <c r="G841" s="30"/>
    </row>
    <row r="842" spans="3:7">
      <c r="C842" s="27"/>
      <c r="F842" s="30"/>
      <c r="G842" s="30"/>
    </row>
    <row r="843" spans="3:7">
      <c r="C843" s="27"/>
      <c r="F843" s="30"/>
      <c r="G843" s="30"/>
    </row>
    <row r="844" spans="3:7">
      <c r="C844" s="27"/>
      <c r="F844" s="30"/>
      <c r="G844" s="30"/>
    </row>
    <row r="845" spans="3:7">
      <c r="C845" s="27"/>
      <c r="F845" s="30"/>
      <c r="G845" s="30"/>
    </row>
    <row r="846" spans="3:7">
      <c r="C846" s="27"/>
      <c r="F846" s="30"/>
      <c r="G846" s="30"/>
    </row>
    <row r="847" spans="3:7">
      <c r="C847" s="27"/>
      <c r="F847" s="30"/>
      <c r="G847" s="30"/>
    </row>
    <row r="848" spans="3:7">
      <c r="C848" s="27"/>
      <c r="F848" s="30"/>
      <c r="G848" s="30"/>
    </row>
    <row r="849" spans="3:7">
      <c r="C849" s="27"/>
      <c r="F849" s="30"/>
      <c r="G849" s="30"/>
    </row>
    <row r="850" spans="3:7">
      <c r="C850" s="27"/>
      <c r="F850" s="30"/>
      <c r="G850" s="30"/>
    </row>
    <row r="851" spans="3:7">
      <c r="C851" s="27"/>
      <c r="F851" s="30"/>
      <c r="G851" s="30"/>
    </row>
    <row r="852" spans="3:7">
      <c r="C852" s="27"/>
      <c r="F852" s="30"/>
      <c r="G852" s="30"/>
    </row>
    <row r="853" spans="3:7">
      <c r="C853" s="27"/>
      <c r="F853" s="30"/>
      <c r="G853" s="30"/>
    </row>
    <row r="854" spans="3:7">
      <c r="C854" s="27"/>
      <c r="F854" s="30"/>
      <c r="G854" s="30"/>
    </row>
    <row r="855" spans="3:7">
      <c r="C855" s="27"/>
      <c r="F855" s="30"/>
      <c r="G855" s="30"/>
    </row>
    <row r="856" spans="3:7">
      <c r="C856" s="27"/>
      <c r="F856" s="30"/>
      <c r="G856" s="30"/>
    </row>
    <row r="857" spans="3:7">
      <c r="C857" s="27"/>
      <c r="F857" s="30"/>
      <c r="G857" s="30"/>
    </row>
    <row r="858" spans="3:7">
      <c r="C858" s="27"/>
      <c r="F858" s="30"/>
      <c r="G858" s="30"/>
    </row>
    <row r="859" spans="3:7">
      <c r="C859" s="27"/>
      <c r="F859" s="30"/>
      <c r="G859" s="30"/>
    </row>
    <row r="860" spans="3:7">
      <c r="C860" s="27"/>
      <c r="F860" s="30"/>
      <c r="G860" s="30"/>
    </row>
    <row r="861" spans="3:7">
      <c r="C861" s="27"/>
      <c r="F861" s="30"/>
      <c r="G861" s="30"/>
    </row>
    <row r="862" spans="3:7">
      <c r="C862" s="27"/>
      <c r="F862" s="30"/>
      <c r="G862" s="30"/>
    </row>
    <row r="863" spans="3:7">
      <c r="C863" s="27"/>
      <c r="F863" s="30"/>
      <c r="G863" s="30"/>
    </row>
    <row r="864" spans="3:7">
      <c r="C864" s="27"/>
      <c r="F864" s="30"/>
      <c r="G864" s="30"/>
    </row>
    <row r="865" spans="3:7">
      <c r="C865" s="27"/>
      <c r="F865" s="30"/>
      <c r="G865" s="30"/>
    </row>
    <row r="866" spans="3:7">
      <c r="C866" s="27"/>
      <c r="F866" s="30"/>
      <c r="G866" s="30"/>
    </row>
    <row r="867" spans="3:7">
      <c r="C867" s="27"/>
      <c r="F867" s="30"/>
      <c r="G867" s="30"/>
    </row>
    <row r="868" spans="3:7">
      <c r="C868" s="27"/>
      <c r="F868" s="30"/>
      <c r="G868" s="30"/>
    </row>
    <row r="869" spans="3:7">
      <c r="C869" s="27"/>
      <c r="F869" s="30"/>
      <c r="G869" s="30"/>
    </row>
    <row r="870" spans="3:7">
      <c r="C870" s="27"/>
      <c r="F870" s="30"/>
      <c r="G870" s="30"/>
    </row>
    <row r="871" spans="3:7">
      <c r="C871" s="27"/>
      <c r="F871" s="30"/>
      <c r="G871" s="30"/>
    </row>
    <row r="872" spans="3:7">
      <c r="C872" s="27"/>
      <c r="F872" s="30"/>
      <c r="G872" s="30"/>
    </row>
    <row r="873" spans="3:7">
      <c r="C873" s="27"/>
      <c r="F873" s="30"/>
      <c r="G873" s="30"/>
    </row>
    <row r="874" spans="3:7">
      <c r="C874" s="27"/>
      <c r="F874" s="30"/>
      <c r="G874" s="30"/>
    </row>
    <row r="875" spans="3:7">
      <c r="C875" s="27"/>
      <c r="F875" s="30"/>
      <c r="G875" s="30"/>
    </row>
    <row r="876" spans="3:7">
      <c r="C876" s="27"/>
      <c r="F876" s="30"/>
      <c r="G876" s="30"/>
    </row>
    <row r="877" spans="3:7">
      <c r="C877" s="27"/>
      <c r="F877" s="30"/>
      <c r="G877" s="30"/>
    </row>
    <row r="878" spans="3:7">
      <c r="C878" s="27"/>
      <c r="F878" s="30"/>
      <c r="G878" s="30"/>
    </row>
    <row r="879" spans="3:7">
      <c r="C879" s="27"/>
      <c r="F879" s="30"/>
      <c r="G879" s="30"/>
    </row>
    <row r="880" spans="3:7">
      <c r="C880" s="27"/>
      <c r="F880" s="30"/>
      <c r="G880" s="30"/>
    </row>
    <row r="881" spans="3:7">
      <c r="C881" s="27"/>
      <c r="F881" s="30"/>
      <c r="G881" s="30"/>
    </row>
    <row r="882" spans="3:7">
      <c r="C882" s="27"/>
      <c r="F882" s="30"/>
      <c r="G882" s="30"/>
    </row>
    <row r="883" spans="3:7">
      <c r="C883" s="27"/>
      <c r="F883" s="30"/>
      <c r="G883" s="30"/>
    </row>
    <row r="884" spans="3:7">
      <c r="C884" s="27"/>
      <c r="F884" s="30"/>
      <c r="G884" s="30"/>
    </row>
    <row r="885" spans="3:7">
      <c r="C885" s="27"/>
      <c r="F885" s="30"/>
      <c r="G885" s="30"/>
    </row>
    <row r="886" spans="3:7">
      <c r="C886" s="27"/>
      <c r="F886" s="30"/>
      <c r="G886" s="30"/>
    </row>
    <row r="887" spans="3:7">
      <c r="C887" s="27"/>
      <c r="F887" s="30"/>
      <c r="G887" s="30"/>
    </row>
    <row r="888" spans="3:7">
      <c r="C888" s="27"/>
      <c r="F888" s="30"/>
      <c r="G888" s="30"/>
    </row>
    <row r="889" spans="3:7">
      <c r="C889" s="27"/>
      <c r="F889" s="30"/>
      <c r="G889" s="30"/>
    </row>
    <row r="890" spans="3:7">
      <c r="C890" s="27"/>
      <c r="F890" s="30"/>
      <c r="G890" s="30"/>
    </row>
    <row r="891" spans="3:7">
      <c r="C891" s="27"/>
      <c r="F891" s="30"/>
      <c r="G891" s="30"/>
    </row>
    <row r="892" spans="3:7">
      <c r="C892" s="27"/>
      <c r="F892" s="30"/>
      <c r="G892" s="30"/>
    </row>
    <row r="893" spans="3:7">
      <c r="C893" s="27"/>
      <c r="F893" s="30"/>
      <c r="G893" s="30"/>
    </row>
    <row r="894" spans="3:7">
      <c r="C894" s="27"/>
      <c r="F894" s="30"/>
      <c r="G894" s="30"/>
    </row>
    <row r="895" spans="3:7">
      <c r="C895" s="27"/>
      <c r="F895" s="30"/>
      <c r="G895" s="30"/>
    </row>
    <row r="896" spans="3:7">
      <c r="C896" s="27"/>
      <c r="F896" s="30"/>
      <c r="G896" s="30"/>
    </row>
    <row r="897" spans="3:7">
      <c r="C897" s="27"/>
      <c r="F897" s="30"/>
      <c r="G897" s="30"/>
    </row>
    <row r="898" spans="3:7">
      <c r="C898" s="27"/>
      <c r="F898" s="30"/>
      <c r="G898" s="30"/>
    </row>
    <row r="899" spans="3:7">
      <c r="C899" s="27"/>
      <c r="F899" s="30"/>
      <c r="G899" s="30"/>
    </row>
    <row r="900" spans="3:7">
      <c r="C900" s="27"/>
      <c r="F900" s="30"/>
      <c r="G900" s="30"/>
    </row>
    <row r="901" spans="3:7">
      <c r="C901" s="27"/>
      <c r="F901" s="30"/>
      <c r="G901" s="30"/>
    </row>
    <row r="902" spans="3:7">
      <c r="C902" s="27"/>
      <c r="F902" s="30"/>
      <c r="G902" s="30"/>
    </row>
    <row r="903" spans="3:7">
      <c r="C903" s="27"/>
      <c r="F903" s="30"/>
      <c r="G903" s="30"/>
    </row>
    <row r="904" spans="3:7">
      <c r="C904" s="27"/>
      <c r="F904" s="30"/>
      <c r="G904" s="30"/>
    </row>
    <row r="905" spans="3:7">
      <c r="C905" s="27"/>
      <c r="F905" s="30"/>
      <c r="G905" s="30"/>
    </row>
    <row r="906" spans="3:7">
      <c r="C906" s="27"/>
      <c r="F906" s="30"/>
      <c r="G906" s="30"/>
    </row>
    <row r="907" spans="3:7">
      <c r="C907" s="27"/>
      <c r="F907" s="30"/>
      <c r="G907" s="30"/>
    </row>
    <row r="908" spans="3:7">
      <c r="C908" s="27"/>
      <c r="F908" s="30"/>
      <c r="G908" s="30"/>
    </row>
    <row r="909" spans="3:7">
      <c r="C909" s="27"/>
      <c r="F909" s="30"/>
      <c r="G909" s="30"/>
    </row>
    <row r="910" spans="3:7">
      <c r="C910" s="27"/>
      <c r="F910" s="30"/>
      <c r="G910" s="30"/>
    </row>
    <row r="911" spans="3:7">
      <c r="C911" s="27"/>
      <c r="F911" s="30"/>
      <c r="G911" s="30"/>
    </row>
    <row r="912" spans="3:7">
      <c r="C912" s="27"/>
      <c r="F912" s="30"/>
      <c r="G912" s="30"/>
    </row>
    <row r="913" spans="3:7">
      <c r="C913" s="27"/>
      <c r="F913" s="30"/>
      <c r="G913" s="30"/>
    </row>
    <row r="914" spans="3:7">
      <c r="C914" s="27"/>
      <c r="F914" s="30"/>
      <c r="G914" s="30"/>
    </row>
    <row r="915" spans="3:7">
      <c r="C915" s="27"/>
      <c r="F915" s="30"/>
      <c r="G915" s="30"/>
    </row>
    <row r="916" spans="3:7">
      <c r="C916" s="27"/>
      <c r="F916" s="30"/>
      <c r="G916" s="30"/>
    </row>
    <row r="917" spans="3:7">
      <c r="C917" s="27"/>
      <c r="F917" s="30"/>
      <c r="G917" s="30"/>
    </row>
    <row r="918" spans="3:7">
      <c r="C918" s="27"/>
      <c r="F918" s="30"/>
      <c r="G918" s="30"/>
    </row>
    <row r="919" spans="3:7">
      <c r="C919" s="27"/>
      <c r="F919" s="30"/>
      <c r="G919" s="30"/>
    </row>
    <row r="920" spans="3:7">
      <c r="C920" s="27"/>
      <c r="F920" s="30"/>
      <c r="G920" s="30"/>
    </row>
    <row r="921" spans="3:7">
      <c r="C921" s="27"/>
      <c r="F921" s="30"/>
      <c r="G921" s="30"/>
    </row>
    <row r="922" spans="3:7">
      <c r="C922" s="27"/>
      <c r="F922" s="30"/>
      <c r="G922" s="30"/>
    </row>
    <row r="923" spans="3:7">
      <c r="C923" s="27"/>
      <c r="F923" s="30"/>
      <c r="G923" s="30"/>
    </row>
    <row r="924" spans="3:7">
      <c r="C924" s="27"/>
      <c r="F924" s="30"/>
      <c r="G924" s="30"/>
    </row>
    <row r="925" spans="3:7">
      <c r="C925" s="27"/>
      <c r="F925" s="30"/>
      <c r="G925" s="30"/>
    </row>
    <row r="926" spans="3:7">
      <c r="C926" s="27"/>
      <c r="F926" s="30"/>
      <c r="G926" s="30"/>
    </row>
    <row r="927" spans="3:7">
      <c r="C927" s="27"/>
      <c r="F927" s="30"/>
      <c r="G927" s="30"/>
    </row>
    <row r="928" spans="3:7">
      <c r="C928" s="27"/>
      <c r="F928" s="30"/>
      <c r="G928" s="30"/>
    </row>
    <row r="929" spans="3:7">
      <c r="C929" s="27"/>
      <c r="F929" s="30"/>
      <c r="G929" s="30"/>
    </row>
    <row r="930" spans="3:7">
      <c r="C930" s="27"/>
      <c r="F930" s="30"/>
      <c r="G930" s="30"/>
    </row>
    <row r="931" spans="3:7">
      <c r="C931" s="27"/>
      <c r="F931" s="30"/>
      <c r="G931" s="30"/>
    </row>
    <row r="932" spans="3:7">
      <c r="C932" s="27"/>
      <c r="F932" s="30"/>
      <c r="G932" s="30"/>
    </row>
    <row r="933" spans="3:7">
      <c r="C933" s="27"/>
      <c r="F933" s="30"/>
      <c r="G933" s="30"/>
    </row>
    <row r="934" spans="3:7">
      <c r="C934" s="27"/>
      <c r="F934" s="30"/>
      <c r="G934" s="30"/>
    </row>
    <row r="935" spans="3:7">
      <c r="C935" s="27"/>
      <c r="F935" s="30"/>
      <c r="G935" s="30"/>
    </row>
    <row r="936" spans="3:7">
      <c r="C936" s="27"/>
      <c r="F936" s="30"/>
      <c r="G936" s="30"/>
    </row>
    <row r="937" spans="3:7">
      <c r="C937" s="27"/>
      <c r="F937" s="30"/>
      <c r="G937" s="30"/>
    </row>
    <row r="938" spans="3:7">
      <c r="C938" s="27"/>
      <c r="F938" s="30"/>
      <c r="G938" s="30"/>
    </row>
    <row r="939" spans="3:7">
      <c r="C939" s="27"/>
      <c r="F939" s="30"/>
      <c r="G939" s="30"/>
    </row>
    <row r="940" spans="3:7">
      <c r="C940" s="27"/>
      <c r="F940" s="30"/>
      <c r="G940" s="30"/>
    </row>
    <row r="941" spans="3:7">
      <c r="C941" s="27"/>
      <c r="F941" s="30"/>
      <c r="G941" s="30"/>
    </row>
    <row r="942" spans="3:7">
      <c r="C942" s="27"/>
      <c r="F942" s="30"/>
      <c r="G942" s="30"/>
    </row>
    <row r="943" spans="3:7">
      <c r="C943" s="27"/>
      <c r="F943" s="30"/>
      <c r="G943" s="30"/>
    </row>
    <row r="944" spans="3:7">
      <c r="C944" s="27"/>
      <c r="F944" s="30"/>
      <c r="G944" s="30"/>
    </row>
    <row r="945" spans="3:7">
      <c r="C945" s="27"/>
      <c r="F945" s="30"/>
      <c r="G945" s="30"/>
    </row>
    <row r="946" spans="3:7">
      <c r="C946" s="27"/>
      <c r="F946" s="30"/>
      <c r="G946" s="30"/>
    </row>
    <row r="947" spans="3:7">
      <c r="C947" s="27"/>
      <c r="F947" s="30"/>
      <c r="G947" s="30"/>
    </row>
    <row r="948" spans="3:7">
      <c r="C948" s="27"/>
      <c r="F948" s="30"/>
      <c r="G948" s="30"/>
    </row>
    <row r="949" spans="3:7">
      <c r="C949" s="27"/>
      <c r="F949" s="30"/>
      <c r="G949" s="30"/>
    </row>
    <row r="950" spans="3:7">
      <c r="C950" s="27"/>
      <c r="F950" s="30"/>
      <c r="G950" s="30"/>
    </row>
    <row r="951" spans="3:7">
      <c r="C951" s="27"/>
      <c r="F951" s="30"/>
      <c r="G951" s="30"/>
    </row>
    <row r="952" spans="3:7">
      <c r="C952" s="27"/>
      <c r="F952" s="30"/>
      <c r="G952" s="30"/>
    </row>
    <row r="953" spans="3:7">
      <c r="C953" s="27"/>
      <c r="F953" s="30"/>
      <c r="G953" s="30"/>
    </row>
    <row r="954" spans="3:7">
      <c r="C954" s="27"/>
      <c r="F954" s="30"/>
      <c r="G954" s="30"/>
    </row>
    <row r="955" spans="3:7">
      <c r="C955" s="27"/>
      <c r="F955" s="30"/>
      <c r="G955" s="30"/>
    </row>
    <row r="956" spans="3:7">
      <c r="C956" s="27"/>
      <c r="F956" s="30"/>
      <c r="G956" s="30"/>
    </row>
    <row r="957" spans="3:7">
      <c r="C957" s="27"/>
      <c r="F957" s="30"/>
      <c r="G957" s="30"/>
    </row>
    <row r="958" spans="3:7">
      <c r="C958" s="27"/>
      <c r="F958" s="30"/>
      <c r="G958" s="30"/>
    </row>
    <row r="959" spans="3:7">
      <c r="C959" s="27"/>
      <c r="F959" s="30"/>
      <c r="G959" s="30"/>
    </row>
    <row r="960" spans="3:7">
      <c r="C960" s="27"/>
      <c r="F960" s="30"/>
      <c r="G960" s="30"/>
    </row>
    <row r="961" spans="3:7">
      <c r="C961" s="27"/>
      <c r="F961" s="30"/>
      <c r="G961" s="30"/>
    </row>
    <row r="963" spans="3:7">
      <c r="C963" s="37"/>
      <c r="F963" s="30"/>
      <c r="G963" s="30"/>
    </row>
    <row r="964" spans="3:7">
      <c r="C964" s="37"/>
      <c r="F964" s="30"/>
      <c r="G964" s="30"/>
    </row>
    <row r="965" spans="3:7">
      <c r="C965" s="37"/>
      <c r="F965" s="30"/>
      <c r="G965" s="30"/>
    </row>
    <row r="966" spans="3:7">
      <c r="C966" s="37"/>
      <c r="F966" s="30"/>
      <c r="G966" s="30"/>
    </row>
    <row r="967" spans="3:7">
      <c r="C967" s="37"/>
      <c r="F967" s="30"/>
      <c r="G967" s="30"/>
    </row>
    <row r="968" spans="3:7">
      <c r="C968" s="37"/>
      <c r="F968" s="30"/>
      <c r="G968" s="30"/>
    </row>
    <row r="969" spans="3:7">
      <c r="C969" s="37"/>
      <c r="F969" s="30"/>
      <c r="G969" s="30"/>
    </row>
    <row r="970" spans="3:7">
      <c r="C970" s="37"/>
      <c r="F970" s="30"/>
      <c r="G970" s="30"/>
    </row>
    <row r="971" spans="3:7">
      <c r="C971" s="37"/>
      <c r="F971" s="30"/>
      <c r="G971" s="30"/>
    </row>
    <row r="972" spans="3:7">
      <c r="C972" s="37"/>
      <c r="F972" s="30"/>
      <c r="G972" s="30"/>
    </row>
    <row r="973" spans="3:7">
      <c r="C973" s="37"/>
      <c r="F973" s="30"/>
      <c r="G973" s="30"/>
    </row>
    <row r="974" spans="3:7">
      <c r="C974" s="37"/>
      <c r="F974" s="30"/>
      <c r="G974" s="30"/>
    </row>
    <row r="975" spans="3:7">
      <c r="C975" s="37"/>
      <c r="F975" s="30"/>
      <c r="G975" s="30"/>
    </row>
    <row r="976" spans="3:7">
      <c r="C976" s="37"/>
      <c r="F976" s="30"/>
      <c r="G976" s="30"/>
    </row>
    <row r="977" spans="3:7">
      <c r="C977" s="37"/>
      <c r="F977" s="30"/>
      <c r="G977" s="30"/>
    </row>
    <row r="978" spans="3:7">
      <c r="C978" s="37"/>
      <c r="F978" s="30"/>
      <c r="G978" s="30"/>
    </row>
    <row r="979" spans="3:7">
      <c r="C979" s="37"/>
      <c r="F979" s="30"/>
      <c r="G979" s="30"/>
    </row>
    <row r="980" spans="3:7">
      <c r="C980" s="37"/>
      <c r="F980" s="30"/>
      <c r="G980" s="30"/>
    </row>
    <row r="981" spans="3:7">
      <c r="C981" s="37"/>
      <c r="F981" s="30"/>
      <c r="G981" s="30"/>
    </row>
    <row r="982" spans="3:7">
      <c r="C982" s="37"/>
      <c r="F982" s="30"/>
      <c r="G982" s="30"/>
    </row>
    <row r="983" spans="3:7">
      <c r="C983" s="37"/>
      <c r="F983" s="30"/>
      <c r="G983" s="30"/>
    </row>
    <row r="984" spans="3:7">
      <c r="C984" s="37"/>
      <c r="F984" s="30"/>
      <c r="G984" s="30"/>
    </row>
    <row r="985" spans="3:7">
      <c r="C985" s="37"/>
      <c r="F985" s="30"/>
      <c r="G985" s="30"/>
    </row>
    <row r="986" spans="3:7">
      <c r="C986" s="37"/>
      <c r="F986" s="30"/>
      <c r="G986" s="30"/>
    </row>
    <row r="987" spans="3:7">
      <c r="C987" s="37"/>
      <c r="F987" s="30"/>
      <c r="G987" s="30"/>
    </row>
    <row r="988" spans="3:7">
      <c r="C988" s="37"/>
      <c r="F988" s="30"/>
      <c r="G988" s="30"/>
    </row>
    <row r="989" spans="3:7">
      <c r="C989" s="37"/>
      <c r="F989" s="30"/>
      <c r="G989" s="30"/>
    </row>
    <row r="990" spans="3:7">
      <c r="C990" s="37"/>
      <c r="F990" s="30"/>
      <c r="G990" s="30"/>
    </row>
    <row r="991" spans="3:7">
      <c r="C991" s="37"/>
      <c r="F991" s="30"/>
      <c r="G991" s="30"/>
    </row>
    <row r="992" spans="3:7">
      <c r="C992" s="37"/>
      <c r="F992" s="30"/>
      <c r="G992" s="30"/>
    </row>
    <row r="993" spans="3:7">
      <c r="C993" s="37"/>
      <c r="F993" s="30"/>
      <c r="G993" s="30"/>
    </row>
    <row r="994" spans="3:7">
      <c r="C994" s="37"/>
      <c r="F994" s="30"/>
      <c r="G994" s="30"/>
    </row>
    <row r="995" spans="3:7">
      <c r="C995" s="37"/>
      <c r="F995" s="30"/>
      <c r="G995" s="30"/>
    </row>
    <row r="996" spans="3:7">
      <c r="C996" s="37"/>
      <c r="F996" s="30"/>
      <c r="G996" s="30"/>
    </row>
    <row r="997" spans="3:7">
      <c r="C997" s="37"/>
      <c r="F997" s="30"/>
      <c r="G997" s="30"/>
    </row>
    <row r="998" spans="3:7">
      <c r="C998" s="37"/>
      <c r="F998" s="30"/>
      <c r="G998" s="30"/>
    </row>
    <row r="999" spans="3:7">
      <c r="C999" s="27"/>
      <c r="F999" s="30"/>
      <c r="G999" s="30"/>
    </row>
    <row r="1000" spans="3:7">
      <c r="C1000" s="27"/>
      <c r="F1000" s="30"/>
      <c r="G1000" s="30"/>
    </row>
    <row r="1001" spans="3:7">
      <c r="C1001" s="27"/>
      <c r="F1001" s="30"/>
      <c r="G1001" s="30"/>
    </row>
    <row r="1002" spans="3:7">
      <c r="C1002" s="27"/>
      <c r="F1002" s="30"/>
      <c r="G1002" s="30"/>
    </row>
    <row r="1003" spans="3:7">
      <c r="C1003" s="27"/>
      <c r="F1003" s="30"/>
      <c r="G1003" s="30"/>
    </row>
    <row r="1004" spans="3:7">
      <c r="C1004" s="27"/>
      <c r="F1004" s="30"/>
      <c r="G1004" s="30"/>
    </row>
    <row r="1005" spans="3:7">
      <c r="C1005" s="27"/>
      <c r="F1005" s="30"/>
      <c r="G1005" s="30"/>
    </row>
    <row r="1006" spans="3:7">
      <c r="C1006" s="27"/>
      <c r="F1006" s="30"/>
      <c r="G1006" s="30"/>
    </row>
    <row r="1007" spans="3:7">
      <c r="C1007" s="27"/>
      <c r="F1007" s="30"/>
      <c r="G1007" s="30"/>
    </row>
    <row r="1008" spans="3:7">
      <c r="C1008" s="27"/>
      <c r="F1008" s="30"/>
      <c r="G1008" s="30"/>
    </row>
    <row r="1009" spans="3:7">
      <c r="C1009" s="27"/>
      <c r="F1009" s="30"/>
      <c r="G1009" s="30"/>
    </row>
    <row r="1010" spans="3:7">
      <c r="C1010" s="27"/>
      <c r="F1010" s="30"/>
      <c r="G1010" s="30"/>
    </row>
    <row r="1011" spans="3:7">
      <c r="C1011" s="27"/>
      <c r="F1011" s="30"/>
      <c r="G1011" s="30"/>
    </row>
    <row r="1012" spans="3:7">
      <c r="C1012" s="27"/>
      <c r="F1012" s="30"/>
      <c r="G1012" s="30"/>
    </row>
    <row r="1013" spans="3:7">
      <c r="C1013" s="27"/>
      <c r="F1013" s="30"/>
      <c r="G1013" s="30"/>
    </row>
    <row r="1014" spans="3:7">
      <c r="C1014" s="27"/>
      <c r="F1014" s="30"/>
      <c r="G1014" s="30"/>
    </row>
    <row r="1015" spans="3:7">
      <c r="C1015" s="27"/>
      <c r="F1015" s="30"/>
      <c r="G1015" s="30"/>
    </row>
    <row r="1016" spans="3:7">
      <c r="C1016" s="27"/>
      <c r="F1016" s="30"/>
      <c r="G1016" s="30"/>
    </row>
    <row r="1017" spans="3:7">
      <c r="C1017" s="27"/>
      <c r="F1017" s="30"/>
      <c r="G1017" s="30"/>
    </row>
    <row r="1018" spans="3:7">
      <c r="C1018" s="27"/>
      <c r="F1018" s="30"/>
      <c r="G1018" s="30"/>
    </row>
    <row r="1019" spans="3:7">
      <c r="C1019" s="27"/>
      <c r="F1019" s="30"/>
      <c r="G1019" s="30"/>
    </row>
    <row r="1020" spans="3:7">
      <c r="C1020" s="27"/>
      <c r="F1020" s="30"/>
      <c r="G1020" s="30"/>
    </row>
    <row r="1021" spans="3:7">
      <c r="C1021" s="27"/>
      <c r="F1021" s="30"/>
      <c r="G1021" s="30"/>
    </row>
    <row r="1022" spans="3:7">
      <c r="C1022" s="27"/>
      <c r="F1022" s="30"/>
      <c r="G1022" s="30"/>
    </row>
    <row r="1023" spans="3:7">
      <c r="C1023" s="27"/>
      <c r="F1023" s="30"/>
      <c r="G1023" s="30"/>
    </row>
    <row r="1024" spans="3:7">
      <c r="C1024" s="27"/>
      <c r="F1024" s="30"/>
      <c r="G1024" s="30"/>
    </row>
    <row r="1025" spans="3:7">
      <c r="C1025" s="27"/>
      <c r="F1025" s="30"/>
      <c r="G1025" s="30"/>
    </row>
    <row r="1026" spans="3:7">
      <c r="C1026" s="27"/>
      <c r="F1026" s="30"/>
      <c r="G1026" s="30"/>
    </row>
    <row r="1027" spans="3:7">
      <c r="C1027" s="27"/>
      <c r="F1027" s="30"/>
      <c r="G1027" s="30"/>
    </row>
    <row r="1028" spans="3:7">
      <c r="C1028" s="27"/>
      <c r="F1028" s="30"/>
      <c r="G1028" s="30"/>
    </row>
    <row r="1029" spans="3:7">
      <c r="C1029" s="27"/>
      <c r="F1029" s="30"/>
      <c r="G1029" s="30"/>
    </row>
    <row r="1030" spans="3:7">
      <c r="C1030" s="27"/>
      <c r="F1030" s="30"/>
      <c r="G1030" s="30"/>
    </row>
    <row r="1031" spans="3:7">
      <c r="C1031" s="27"/>
      <c r="F1031" s="30"/>
      <c r="G1031" s="30"/>
    </row>
    <row r="1032" spans="3:7">
      <c r="C1032" s="27"/>
      <c r="F1032" s="30"/>
      <c r="G1032" s="30"/>
    </row>
    <row r="1033" spans="3:7">
      <c r="C1033" s="27"/>
      <c r="F1033" s="30"/>
      <c r="G1033" s="30"/>
    </row>
    <row r="1034" spans="3:7">
      <c r="C1034" s="27"/>
      <c r="F1034" s="30"/>
      <c r="G1034" s="30"/>
    </row>
    <row r="1035" spans="3:7">
      <c r="C1035" s="27"/>
      <c r="F1035" s="30"/>
      <c r="G1035" s="30"/>
    </row>
    <row r="1036" spans="3:7">
      <c r="C1036" s="27"/>
      <c r="F1036" s="30"/>
      <c r="G1036" s="30"/>
    </row>
    <row r="1037" spans="3:7">
      <c r="C1037" s="27"/>
      <c r="F1037" s="30"/>
      <c r="G1037" s="30"/>
    </row>
    <row r="1038" spans="3:7">
      <c r="C1038" s="27"/>
      <c r="F1038" s="30"/>
      <c r="G1038" s="30"/>
    </row>
    <row r="1039" spans="3:7">
      <c r="C1039" s="27"/>
      <c r="F1039" s="30"/>
      <c r="G1039" s="30"/>
    </row>
    <row r="1040" spans="3:7">
      <c r="C1040" s="27"/>
      <c r="F1040" s="30"/>
      <c r="G1040" s="30"/>
    </row>
    <row r="1041" spans="3:7">
      <c r="C1041" s="27"/>
      <c r="F1041" s="30"/>
      <c r="G1041" s="30"/>
    </row>
    <row r="1042" spans="3:7">
      <c r="C1042" s="27"/>
      <c r="F1042" s="30"/>
      <c r="G1042" s="30"/>
    </row>
    <row r="1043" spans="3:7">
      <c r="C1043" s="27"/>
      <c r="F1043" s="30"/>
      <c r="G1043" s="30"/>
    </row>
    <row r="1044" spans="3:7">
      <c r="C1044" s="27"/>
      <c r="F1044" s="30"/>
      <c r="G1044" s="30"/>
    </row>
    <row r="1045" spans="3:7">
      <c r="C1045" s="27"/>
      <c r="F1045" s="30"/>
      <c r="G1045" s="30"/>
    </row>
    <row r="1046" spans="3:7">
      <c r="C1046" s="27"/>
      <c r="F1046" s="30"/>
      <c r="G1046" s="30"/>
    </row>
    <row r="1048" spans="3:7">
      <c r="C1048" s="27"/>
      <c r="E1048" s="37"/>
      <c r="F1048" s="30"/>
      <c r="G1048" s="30"/>
    </row>
    <row r="1049" spans="3:7">
      <c r="C1049" s="27"/>
      <c r="E1049" s="37"/>
      <c r="F1049" s="30"/>
      <c r="G1049" s="30"/>
    </row>
    <row r="1050" spans="3:7">
      <c r="C1050" s="27"/>
      <c r="E1050" s="37"/>
      <c r="F1050" s="30"/>
      <c r="G1050" s="30"/>
    </row>
    <row r="1051" spans="3:7">
      <c r="C1051" s="27"/>
      <c r="E1051" s="37"/>
      <c r="F1051" s="30"/>
      <c r="G1051" s="30"/>
    </row>
    <row r="1052" spans="3:7">
      <c r="C1052" s="27"/>
      <c r="E1052" s="37"/>
      <c r="F1052" s="30"/>
      <c r="G1052" s="30"/>
    </row>
    <row r="1053" spans="3:7">
      <c r="C1053" s="27"/>
      <c r="E1053" s="37"/>
      <c r="F1053" s="30"/>
      <c r="G1053" s="30"/>
    </row>
    <row r="1054" spans="3:7">
      <c r="C1054" s="27"/>
      <c r="E1054" s="37"/>
      <c r="F1054" s="30"/>
      <c r="G1054" s="30"/>
    </row>
    <row r="1055" spans="3:7">
      <c r="C1055" s="27"/>
      <c r="E1055" s="37"/>
      <c r="F1055" s="30"/>
      <c r="G1055" s="30"/>
    </row>
    <row r="1056" spans="3:7">
      <c r="C1056" s="27"/>
      <c r="E1056" s="37"/>
      <c r="F1056" s="30"/>
      <c r="G1056" s="30"/>
    </row>
    <row r="1057" spans="3:7">
      <c r="C1057" s="27"/>
      <c r="E1057" s="37"/>
      <c r="F1057" s="30"/>
      <c r="G1057" s="30"/>
    </row>
    <row r="1058" spans="3:7">
      <c r="C1058" s="27"/>
      <c r="E1058" s="37"/>
      <c r="F1058" s="30"/>
      <c r="G1058" s="30"/>
    </row>
    <row r="1059" spans="3:7">
      <c r="C1059" s="27"/>
      <c r="E1059" s="37"/>
      <c r="F1059" s="30"/>
      <c r="G1059" s="30"/>
    </row>
    <row r="1060" spans="3:7">
      <c r="C1060" s="27"/>
      <c r="E1060" s="37"/>
      <c r="F1060" s="30"/>
      <c r="G1060" s="30"/>
    </row>
    <row r="1061" spans="3:7">
      <c r="C1061" s="27"/>
      <c r="E1061" s="37"/>
      <c r="F1061" s="30"/>
      <c r="G1061" s="30"/>
    </row>
    <row r="1062" spans="3:7">
      <c r="C1062" s="27"/>
      <c r="E1062" s="37"/>
      <c r="F1062" s="30"/>
      <c r="G1062" s="30"/>
    </row>
    <row r="1063" spans="3:7">
      <c r="C1063" s="27"/>
      <c r="E1063" s="37"/>
      <c r="F1063" s="30"/>
      <c r="G1063" s="30"/>
    </row>
    <row r="1064" spans="3:7">
      <c r="C1064" s="27"/>
      <c r="E1064" s="37"/>
      <c r="F1064" s="30"/>
      <c r="G1064" s="30"/>
    </row>
    <row r="1065" spans="3:7">
      <c r="C1065" s="27"/>
      <c r="E1065" s="37"/>
      <c r="F1065" s="30"/>
      <c r="G1065" s="30"/>
    </row>
    <row r="1066" spans="3:7">
      <c r="C1066" s="27"/>
      <c r="E1066" s="37"/>
      <c r="F1066" s="30"/>
      <c r="G1066" s="30"/>
    </row>
    <row r="1067" spans="3:7">
      <c r="C1067" s="27"/>
      <c r="E1067" s="37"/>
      <c r="F1067" s="30"/>
      <c r="G1067" s="30"/>
    </row>
    <row r="1068" spans="3:7">
      <c r="C1068" s="27"/>
      <c r="E1068" s="37"/>
      <c r="F1068" s="30"/>
      <c r="G1068" s="30"/>
    </row>
    <row r="1069" spans="3:7">
      <c r="C1069" s="27"/>
      <c r="E1069" s="37"/>
      <c r="F1069" s="30"/>
      <c r="G1069" s="30"/>
    </row>
    <row r="1070" spans="3:7">
      <c r="C1070" s="27"/>
      <c r="E1070" s="37"/>
      <c r="F1070" s="30"/>
      <c r="G1070" s="30"/>
    </row>
    <row r="1071" spans="3:7">
      <c r="C1071" s="27"/>
      <c r="E1071" s="37"/>
      <c r="F1071" s="30"/>
      <c r="G1071" s="30"/>
    </row>
    <row r="1072" spans="3:7">
      <c r="C1072" s="27"/>
      <c r="E1072" s="37"/>
      <c r="F1072" s="30"/>
      <c r="G1072" s="30"/>
    </row>
    <row r="1074" spans="3:7">
      <c r="C1074" s="27"/>
      <c r="E1074" s="37"/>
      <c r="F1074" s="30"/>
      <c r="G1074" s="30"/>
    </row>
    <row r="1075" spans="3:7">
      <c r="C1075" s="27"/>
      <c r="E1075" s="37"/>
      <c r="F1075" s="30"/>
      <c r="G1075" s="30"/>
    </row>
    <row r="1076" spans="3:7">
      <c r="C1076" s="27"/>
      <c r="E1076" s="37"/>
      <c r="F1076" s="30"/>
      <c r="G1076" s="30"/>
    </row>
    <row r="1077" spans="3:7">
      <c r="C1077" s="27"/>
      <c r="E1077" s="37"/>
      <c r="F1077" s="30"/>
      <c r="G1077" s="30"/>
    </row>
    <row r="1078" spans="3:7">
      <c r="C1078" s="27"/>
      <c r="E1078" s="37"/>
      <c r="F1078" s="30"/>
      <c r="G1078" s="30"/>
    </row>
    <row r="1079" spans="3:7">
      <c r="C1079" s="27"/>
      <c r="E1079" s="37"/>
      <c r="F1079" s="30"/>
      <c r="G1079" s="30"/>
    </row>
    <row r="1080" spans="3:7">
      <c r="C1080" s="27"/>
      <c r="E1080" s="37"/>
      <c r="F1080" s="30"/>
      <c r="G1080" s="30"/>
    </row>
    <row r="1081" spans="3:7">
      <c r="C1081" s="27"/>
      <c r="E1081" s="37"/>
      <c r="F1081" s="30"/>
      <c r="G1081" s="30"/>
    </row>
    <row r="1082" spans="3:7">
      <c r="C1082" s="27"/>
      <c r="E1082" s="37"/>
      <c r="F1082" s="30"/>
      <c r="G1082" s="30"/>
    </row>
    <row r="1083" spans="3:7">
      <c r="C1083" s="27"/>
      <c r="E1083" s="37"/>
      <c r="F1083" s="30"/>
      <c r="G1083" s="30"/>
    </row>
    <row r="1084" spans="3:7">
      <c r="C1084" s="27"/>
      <c r="E1084" s="37"/>
      <c r="F1084" s="30"/>
      <c r="G1084" s="30"/>
    </row>
    <row r="1085" spans="3:7">
      <c r="C1085" s="27"/>
      <c r="E1085" s="37"/>
      <c r="F1085" s="30"/>
      <c r="G1085" s="30"/>
    </row>
    <row r="1086" spans="3:7">
      <c r="C1086" s="27"/>
      <c r="E1086" s="37"/>
      <c r="F1086" s="30"/>
      <c r="G1086" s="30"/>
    </row>
    <row r="1087" spans="3:7">
      <c r="C1087" s="27"/>
      <c r="E1087" s="37"/>
      <c r="F1087" s="30"/>
      <c r="G1087" s="30"/>
    </row>
    <row r="1088" spans="3:7">
      <c r="C1088" s="27"/>
      <c r="E1088" s="37"/>
      <c r="F1088" s="30"/>
      <c r="G1088" s="30"/>
    </row>
    <row r="1089" spans="3:7">
      <c r="C1089" s="27"/>
      <c r="E1089" s="37"/>
      <c r="F1089" s="30"/>
      <c r="G1089" s="30"/>
    </row>
    <row r="1090" spans="3:7">
      <c r="C1090" s="27"/>
      <c r="E1090" s="37"/>
      <c r="F1090" s="30"/>
      <c r="G1090" s="30"/>
    </row>
    <row r="1091" spans="3:7">
      <c r="C1091" s="27"/>
      <c r="E1091" s="37"/>
      <c r="F1091" s="30"/>
      <c r="G1091" s="30"/>
    </row>
    <row r="1092" spans="3:7">
      <c r="C1092" s="27"/>
      <c r="E1092" s="37"/>
      <c r="F1092" s="30"/>
      <c r="G1092" s="30"/>
    </row>
    <row r="1093" spans="3:7">
      <c r="C1093" s="27"/>
      <c r="E1093" s="37"/>
      <c r="F1093" s="30"/>
      <c r="G1093" s="30"/>
    </row>
    <row r="1094" spans="3:7">
      <c r="C1094" s="27"/>
      <c r="E1094" s="37"/>
      <c r="F1094" s="30"/>
      <c r="G1094" s="30"/>
    </row>
    <row r="1095" spans="3:7">
      <c r="C1095" s="27"/>
      <c r="E1095" s="37"/>
      <c r="F1095" s="30"/>
      <c r="G1095" s="30"/>
    </row>
    <row r="1096" spans="3:7">
      <c r="C1096" s="27"/>
      <c r="E1096" s="37"/>
      <c r="F1096" s="30"/>
      <c r="G1096" s="30"/>
    </row>
    <row r="1097" spans="3:7">
      <c r="C1097" s="27"/>
      <c r="E1097" s="37"/>
      <c r="F1097" s="30"/>
      <c r="G1097" s="30"/>
    </row>
    <row r="1098" spans="3:7">
      <c r="C1098" s="27"/>
      <c r="E1098" s="37"/>
      <c r="F1098" s="30"/>
      <c r="G1098" s="30"/>
    </row>
    <row r="1099" spans="3:7">
      <c r="C1099" s="27"/>
      <c r="E1099" s="37"/>
      <c r="F1099" s="30"/>
      <c r="G1099" s="30"/>
    </row>
    <row r="1100" spans="3:7">
      <c r="C1100" s="27"/>
      <c r="E1100" s="37"/>
      <c r="F1100" s="30"/>
      <c r="G1100" s="30"/>
    </row>
    <row r="1101" spans="3:7">
      <c r="C1101" s="27"/>
      <c r="E1101" s="37"/>
      <c r="F1101" s="30"/>
      <c r="G1101" s="30"/>
    </row>
    <row r="1102" spans="3:7">
      <c r="C1102" s="27"/>
      <c r="E1102" s="37"/>
      <c r="F1102" s="30"/>
      <c r="G1102" s="30"/>
    </row>
    <row r="1103" spans="3:7">
      <c r="C1103" s="27"/>
      <c r="E1103" s="37"/>
      <c r="F1103" s="30"/>
      <c r="G1103" s="30"/>
    </row>
    <row r="1104" spans="3:7">
      <c r="C1104" s="27"/>
      <c r="E1104" s="37"/>
      <c r="F1104" s="30"/>
      <c r="G1104" s="30"/>
    </row>
    <row r="1105" spans="3:7">
      <c r="C1105" s="27"/>
      <c r="E1105" s="37"/>
      <c r="F1105" s="30"/>
      <c r="G1105" s="30"/>
    </row>
    <row r="1106" spans="3:7">
      <c r="C1106" s="27"/>
      <c r="E1106" s="37"/>
      <c r="F1106" s="30"/>
      <c r="G1106" s="30"/>
    </row>
    <row r="1107" spans="3:7">
      <c r="C1107" s="27"/>
      <c r="E1107" s="37"/>
      <c r="F1107" s="30"/>
      <c r="G1107" s="30"/>
    </row>
    <row r="1108" spans="3:7">
      <c r="C1108" s="27"/>
      <c r="E1108" s="37"/>
      <c r="F1108" s="30"/>
      <c r="G1108" s="30"/>
    </row>
    <row r="1109" spans="3:7">
      <c r="C1109" s="27"/>
      <c r="E1109" s="37"/>
      <c r="F1109" s="30"/>
      <c r="G1109" s="30"/>
    </row>
    <row r="1110" spans="3:7">
      <c r="C1110" s="27"/>
      <c r="E1110" s="37"/>
      <c r="F1110" s="30"/>
      <c r="G1110" s="30"/>
    </row>
    <row r="1111" spans="3:7">
      <c r="C1111" s="27"/>
      <c r="E1111" s="37"/>
      <c r="F1111" s="30"/>
      <c r="G1111" s="30"/>
    </row>
    <row r="1112" spans="3:7">
      <c r="C1112" s="27"/>
      <c r="E1112" s="37"/>
      <c r="F1112" s="30"/>
      <c r="G1112" s="30"/>
    </row>
    <row r="1113" spans="3:7">
      <c r="C1113" s="27"/>
      <c r="E1113" s="37"/>
      <c r="F1113" s="30"/>
      <c r="G1113" s="30"/>
    </row>
    <row r="1114" spans="3:7">
      <c r="C1114" s="27"/>
      <c r="E1114" s="37"/>
      <c r="F1114" s="30"/>
      <c r="G1114" s="30"/>
    </row>
    <row r="1115" spans="3:7">
      <c r="C1115" s="27"/>
      <c r="E1115" s="37"/>
      <c r="F1115" s="30"/>
      <c r="G1115" s="30"/>
    </row>
    <row r="1116" spans="3:7">
      <c r="C1116" s="27"/>
      <c r="E1116" s="37"/>
      <c r="F1116" s="30"/>
      <c r="G1116" s="30"/>
    </row>
    <row r="1117" spans="3:7">
      <c r="C1117" s="27"/>
      <c r="E1117" s="37"/>
      <c r="F1117" s="30"/>
      <c r="G1117" s="30"/>
    </row>
    <row r="1118" spans="3:7">
      <c r="C1118" s="27"/>
      <c r="E1118" s="37"/>
      <c r="F1118" s="30"/>
      <c r="G1118" s="30"/>
    </row>
    <row r="1119" spans="3:7">
      <c r="C1119" s="27"/>
      <c r="E1119" s="37"/>
      <c r="F1119" s="30"/>
      <c r="G1119" s="30"/>
    </row>
    <row r="1120" spans="3:7">
      <c r="C1120" s="27"/>
      <c r="E1120" s="37"/>
      <c r="F1120" s="30"/>
      <c r="G1120" s="30"/>
    </row>
    <row r="1121" spans="3:7">
      <c r="C1121" s="27"/>
      <c r="E1121" s="37"/>
      <c r="F1121" s="30"/>
      <c r="G1121" s="30"/>
    </row>
    <row r="1122" spans="3:7">
      <c r="C1122" s="27"/>
      <c r="E1122" s="37"/>
      <c r="F1122" s="30"/>
      <c r="G1122" s="30"/>
    </row>
    <row r="1123" spans="3:7">
      <c r="C1123" s="27"/>
      <c r="E1123" s="37"/>
      <c r="F1123" s="30"/>
      <c r="G1123" s="30"/>
    </row>
    <row r="1124" spans="3:7">
      <c r="C1124" s="27"/>
      <c r="E1124" s="37"/>
      <c r="F1124" s="30"/>
      <c r="G1124" s="30"/>
    </row>
    <row r="1125" spans="3:7">
      <c r="C1125" s="27"/>
      <c r="E1125" s="37"/>
      <c r="F1125" s="30"/>
      <c r="G1125" s="30"/>
    </row>
    <row r="1126" spans="3:7">
      <c r="C1126" s="27"/>
      <c r="E1126" s="37"/>
      <c r="F1126" s="30"/>
      <c r="G1126" s="30"/>
    </row>
    <row r="1127" spans="3:7">
      <c r="C1127" s="27"/>
      <c r="E1127" s="37"/>
      <c r="F1127" s="30"/>
      <c r="G1127" s="30"/>
    </row>
    <row r="1128" spans="3:7">
      <c r="C1128" s="27"/>
      <c r="E1128" s="37"/>
      <c r="F1128" s="30"/>
      <c r="G1128" s="30"/>
    </row>
    <row r="1129" spans="3:7">
      <c r="C1129" s="27"/>
      <c r="E1129" s="37"/>
      <c r="F1129" s="30"/>
      <c r="G1129" s="30"/>
    </row>
    <row r="1130" spans="3:7">
      <c r="C1130" s="27"/>
      <c r="E1130" s="37"/>
      <c r="F1130" s="30"/>
      <c r="G1130" s="30"/>
    </row>
    <row r="1131" spans="3:7">
      <c r="C1131" s="27"/>
      <c r="E1131" s="37"/>
      <c r="F1131" s="30"/>
      <c r="G1131" s="30"/>
    </row>
    <row r="1132" spans="3:7">
      <c r="C1132" s="27"/>
      <c r="E1132" s="37"/>
      <c r="F1132" s="30"/>
      <c r="G1132" s="30"/>
    </row>
    <row r="1133" spans="3:7">
      <c r="C1133" s="27"/>
      <c r="E1133" s="37"/>
      <c r="F1133" s="30"/>
      <c r="G1133" s="30"/>
    </row>
    <row r="1134" spans="3:7">
      <c r="C1134" s="27"/>
      <c r="E1134" s="37"/>
      <c r="F1134" s="30"/>
      <c r="G1134" s="30"/>
    </row>
    <row r="1135" spans="3:7">
      <c r="C1135" s="27"/>
      <c r="E1135" s="37"/>
      <c r="F1135" s="30"/>
      <c r="G1135" s="30"/>
    </row>
    <row r="1136" spans="3:7">
      <c r="C1136" s="27"/>
      <c r="E1136" s="37"/>
      <c r="F1136" s="30"/>
      <c r="G1136" s="30"/>
    </row>
    <row r="1137" spans="3:7">
      <c r="C1137" s="27"/>
      <c r="E1137" s="37"/>
      <c r="F1137" s="30"/>
      <c r="G1137" s="30"/>
    </row>
    <row r="1138" spans="3:7">
      <c r="C1138" s="27"/>
      <c r="E1138" s="37"/>
      <c r="F1138" s="30"/>
      <c r="G1138" s="30"/>
    </row>
    <row r="1139" spans="3:7">
      <c r="C1139" s="27"/>
      <c r="E1139" s="37"/>
      <c r="F1139" s="30"/>
      <c r="G1139" s="30"/>
    </row>
    <row r="1140" spans="3:7">
      <c r="C1140" s="27"/>
      <c r="E1140" s="37"/>
      <c r="F1140" s="30"/>
      <c r="G1140" s="30"/>
    </row>
    <row r="1141" spans="3:7">
      <c r="C1141" s="27"/>
      <c r="E1141" s="37"/>
      <c r="F1141" s="30"/>
      <c r="G1141" s="30"/>
    </row>
    <row r="1142" spans="3:7">
      <c r="C1142" s="27"/>
      <c r="E1142" s="37"/>
      <c r="F1142" s="30"/>
      <c r="G1142" s="30"/>
    </row>
    <row r="1143" spans="3:7">
      <c r="C1143" s="27"/>
      <c r="E1143" s="37"/>
      <c r="F1143" s="30"/>
      <c r="G1143" s="30"/>
    </row>
    <row r="1144" spans="3:7">
      <c r="C1144" s="27"/>
      <c r="E1144" s="37"/>
      <c r="F1144" s="30"/>
      <c r="G1144" s="30"/>
    </row>
    <row r="1145" spans="3:7">
      <c r="C1145" s="27"/>
      <c r="E1145" s="37"/>
      <c r="F1145" s="30"/>
      <c r="G1145" s="30"/>
    </row>
    <row r="1146" spans="3:7">
      <c r="C1146" s="27"/>
      <c r="E1146" s="37"/>
      <c r="F1146" s="30"/>
      <c r="G1146" s="30"/>
    </row>
    <row r="1147" spans="3:7">
      <c r="C1147" s="27"/>
      <c r="E1147" s="37"/>
      <c r="F1147" s="30"/>
      <c r="G1147" s="30"/>
    </row>
    <row r="1149" spans="3:7">
      <c r="C1149" s="38"/>
      <c r="D1149" s="39"/>
      <c r="E1149" s="37"/>
      <c r="F1149" s="30"/>
      <c r="G1149" s="30"/>
    </row>
    <row r="1150" spans="3:7">
      <c r="C1150" s="38"/>
      <c r="D1150" s="39"/>
      <c r="E1150" s="37"/>
      <c r="F1150" s="30"/>
      <c r="G1150" s="30"/>
    </row>
    <row r="1151" spans="3:7">
      <c r="C1151" s="38"/>
      <c r="D1151" s="39"/>
      <c r="E1151" s="37"/>
      <c r="F1151" s="30"/>
      <c r="G1151" s="30"/>
    </row>
    <row r="1152" spans="3:7">
      <c r="C1152" s="38"/>
      <c r="D1152" s="39"/>
      <c r="E1152" s="37"/>
      <c r="F1152" s="30"/>
      <c r="G1152" s="30"/>
    </row>
    <row r="1153" spans="3:7">
      <c r="C1153" s="38"/>
      <c r="D1153" s="39"/>
      <c r="E1153" s="37"/>
      <c r="F1153" s="30"/>
      <c r="G1153" s="30"/>
    </row>
    <row r="1154" spans="3:7">
      <c r="C1154" s="38"/>
      <c r="D1154" s="39"/>
      <c r="E1154" s="37"/>
      <c r="F1154" s="30"/>
      <c r="G1154" s="30"/>
    </row>
    <row r="1155" spans="3:7">
      <c r="C1155" s="38"/>
      <c r="D1155" s="39"/>
      <c r="E1155" s="37"/>
      <c r="F1155" s="30"/>
      <c r="G1155" s="30"/>
    </row>
    <row r="1156" spans="3:7">
      <c r="C1156" s="38"/>
      <c r="D1156" s="39"/>
      <c r="E1156" s="40"/>
      <c r="F1156" s="30"/>
      <c r="G1156" s="30"/>
    </row>
    <row r="1157" spans="3:7">
      <c r="C1157" s="38"/>
      <c r="D1157" s="39"/>
      <c r="E1157" s="37"/>
      <c r="F1157" s="30"/>
      <c r="G1157" s="30"/>
    </row>
    <row r="1158" spans="3:7">
      <c r="C1158" s="38"/>
      <c r="D1158" s="39"/>
      <c r="E1158" s="37"/>
      <c r="F1158" s="30"/>
      <c r="G1158" s="30"/>
    </row>
    <row r="1159" spans="3:7">
      <c r="C1159" s="38"/>
      <c r="D1159" s="39"/>
      <c r="E1159" s="37"/>
      <c r="F1159" s="30"/>
      <c r="G1159" s="30"/>
    </row>
    <row r="1160" spans="3:7">
      <c r="C1160" s="38"/>
      <c r="D1160" s="39"/>
      <c r="E1160" s="37"/>
      <c r="F1160" s="30"/>
      <c r="G1160" s="30"/>
    </row>
    <row r="1161" spans="3:7">
      <c r="C1161" s="38"/>
      <c r="D1161" s="39"/>
      <c r="E1161" s="37"/>
      <c r="F1161" s="30"/>
      <c r="G1161" s="30"/>
    </row>
    <row r="1162" spans="3:7">
      <c r="C1162" s="38"/>
      <c r="D1162" s="39"/>
      <c r="E1162" s="40"/>
      <c r="F1162" s="30"/>
      <c r="G1162" s="30"/>
    </row>
    <row r="1163" spans="3:7">
      <c r="C1163" s="38"/>
      <c r="D1163" s="39"/>
      <c r="E1163" s="37"/>
      <c r="F1163" s="30"/>
      <c r="G1163" s="30"/>
    </row>
    <row r="1164" spans="3:7">
      <c r="C1164" s="38"/>
      <c r="D1164" s="39"/>
      <c r="E1164" s="37"/>
      <c r="F1164" s="30"/>
      <c r="G1164" s="30"/>
    </row>
    <row r="1165" spans="3:7">
      <c r="C1165" s="38"/>
      <c r="D1165" s="39"/>
      <c r="E1165" s="37"/>
      <c r="F1165" s="30"/>
      <c r="G1165" s="30"/>
    </row>
    <row r="1166" spans="3:7">
      <c r="C1166" s="38"/>
      <c r="D1166" s="39"/>
      <c r="E1166" s="37"/>
      <c r="F1166" s="30"/>
      <c r="G1166" s="30"/>
    </row>
    <row r="1167" spans="3:7">
      <c r="C1167" s="38"/>
      <c r="D1167" s="39"/>
      <c r="E1167" s="37"/>
      <c r="F1167" s="30"/>
      <c r="G1167" s="30"/>
    </row>
    <row r="1168" spans="3:7">
      <c r="C1168" s="38"/>
      <c r="D1168" s="39"/>
      <c r="E1168" s="37"/>
      <c r="F1168" s="30"/>
      <c r="G1168" s="30"/>
    </row>
    <row r="1169" spans="3:7">
      <c r="C1169" s="38"/>
      <c r="D1169" s="39"/>
      <c r="E1169" s="37"/>
      <c r="F1169" s="30"/>
      <c r="G1169" s="30"/>
    </row>
    <row r="1170" spans="3:7">
      <c r="C1170" s="38"/>
      <c r="D1170" s="39"/>
      <c r="E1170" s="37"/>
      <c r="F1170" s="30"/>
      <c r="G1170" s="30"/>
    </row>
    <row r="1171" spans="3:7">
      <c r="C1171" s="38"/>
      <c r="D1171" s="39"/>
      <c r="E1171" s="40"/>
      <c r="F1171" s="30"/>
      <c r="G1171" s="30"/>
    </row>
    <row r="1172" spans="3:7">
      <c r="C1172" s="38"/>
      <c r="D1172" s="39"/>
      <c r="E1172" s="37"/>
      <c r="F1172" s="30"/>
      <c r="G1172" s="30"/>
    </row>
    <row r="1174" spans="3:7">
      <c r="C1174" s="27"/>
      <c r="E1174" s="37"/>
      <c r="F1174" s="30"/>
      <c r="G1174" s="30"/>
    </row>
    <row r="1175" spans="3:7">
      <c r="C1175" s="27"/>
      <c r="E1175" s="37"/>
      <c r="F1175" s="30"/>
      <c r="G1175" s="30"/>
    </row>
    <row r="1176" spans="3:7">
      <c r="C1176" s="27"/>
      <c r="E1176" s="37"/>
      <c r="F1176" s="30"/>
      <c r="G1176" s="30"/>
    </row>
    <row r="1177" spans="3:7">
      <c r="C1177" s="27"/>
      <c r="E1177" s="37"/>
      <c r="F1177" s="30"/>
      <c r="G1177" s="30"/>
    </row>
    <row r="1178" spans="3:7">
      <c r="C1178" s="27"/>
      <c r="E1178" s="37"/>
      <c r="F1178" s="30"/>
      <c r="G1178" s="30"/>
    </row>
    <row r="1179" spans="3:7">
      <c r="C1179" s="27"/>
      <c r="E1179" s="37"/>
      <c r="F1179" s="30"/>
      <c r="G1179" s="30"/>
    </row>
    <row r="1180" spans="3:7">
      <c r="C1180" s="27"/>
      <c r="E1180" s="37"/>
      <c r="F1180" s="30"/>
      <c r="G1180" s="30"/>
    </row>
    <row r="1181" spans="3:7">
      <c r="C1181" s="27"/>
      <c r="E1181" s="37"/>
      <c r="F1181" s="30"/>
      <c r="G1181" s="30"/>
    </row>
    <row r="1182" spans="3:7">
      <c r="C1182" s="27"/>
      <c r="E1182" s="37"/>
      <c r="F1182" s="30"/>
      <c r="G1182" s="30"/>
    </row>
    <row r="1183" spans="3:7">
      <c r="C1183" s="27"/>
      <c r="E1183" s="37"/>
      <c r="F1183" s="30"/>
      <c r="G1183" s="30"/>
    </row>
    <row r="1184" spans="3:7">
      <c r="C1184" s="27"/>
      <c r="E1184" s="37"/>
      <c r="F1184" s="30"/>
      <c r="G1184" s="30"/>
    </row>
    <row r="1185" spans="3:7">
      <c r="C1185" s="27"/>
      <c r="E1185" s="37"/>
      <c r="F1185" s="30"/>
      <c r="G1185" s="30"/>
    </row>
    <row r="1186" spans="3:7">
      <c r="C1186" s="27"/>
      <c r="E1186" s="37"/>
      <c r="F1186" s="30"/>
      <c r="G1186" s="30"/>
    </row>
    <row r="1187" spans="3:7">
      <c r="C1187" s="27"/>
      <c r="E1187" s="37"/>
      <c r="F1187" s="30"/>
      <c r="G1187" s="30"/>
    </row>
    <row r="1188" spans="3:7">
      <c r="C1188" s="27"/>
      <c r="E1188" s="37"/>
      <c r="F1188" s="30"/>
      <c r="G1188" s="30"/>
    </row>
    <row r="1189" spans="3:7">
      <c r="C1189" s="27"/>
      <c r="E1189" s="37"/>
      <c r="F1189" s="30"/>
      <c r="G1189" s="30"/>
    </row>
    <row r="1190" spans="3:7">
      <c r="C1190" s="27"/>
      <c r="E1190" s="37"/>
      <c r="F1190" s="30"/>
      <c r="G1190" s="30"/>
    </row>
    <row r="1191" spans="3:7">
      <c r="C1191" s="27"/>
      <c r="E1191" s="37"/>
      <c r="F1191" s="30"/>
      <c r="G1191" s="30"/>
    </row>
    <row r="1192" spans="3:7">
      <c r="C1192" s="27"/>
      <c r="E1192" s="37"/>
      <c r="F1192" s="30"/>
      <c r="G1192" s="30"/>
    </row>
    <row r="1193" spans="3:7">
      <c r="C1193" s="27"/>
      <c r="E1193" s="37"/>
      <c r="F1193" s="30"/>
      <c r="G1193" s="30"/>
    </row>
    <row r="1194" spans="3:7">
      <c r="C1194" s="27"/>
      <c r="E1194" s="37"/>
      <c r="F1194" s="30"/>
      <c r="G1194" s="30"/>
    </row>
    <row r="1195" spans="3:7">
      <c r="C1195" s="27"/>
      <c r="E1195" s="37"/>
      <c r="F1195" s="30"/>
      <c r="G1195" s="30"/>
    </row>
    <row r="1196" spans="3:7">
      <c r="C1196" s="27"/>
      <c r="E1196" s="37"/>
      <c r="F1196" s="30"/>
      <c r="G1196" s="30"/>
    </row>
    <row r="1197" spans="3:7">
      <c r="C1197" s="27"/>
      <c r="E1197" s="37"/>
      <c r="F1197" s="30"/>
      <c r="G1197" s="30"/>
    </row>
    <row r="1198" spans="3:7">
      <c r="C1198" s="27"/>
      <c r="E1198" s="37"/>
      <c r="F1198" s="30"/>
      <c r="G1198" s="30"/>
    </row>
    <row r="1199" spans="3:7">
      <c r="C1199" s="27"/>
      <c r="E1199" s="37"/>
      <c r="F1199" s="30"/>
      <c r="G1199" s="30"/>
    </row>
    <row r="1200" spans="3:7">
      <c r="C1200" s="27"/>
      <c r="E1200" s="37"/>
      <c r="F1200" s="30"/>
      <c r="G1200" s="30"/>
    </row>
    <row r="1201" spans="3:7">
      <c r="C1201" s="27"/>
      <c r="E1201" s="37"/>
      <c r="F1201" s="30"/>
      <c r="G1201" s="30"/>
    </row>
    <row r="1202" spans="3:7">
      <c r="C1202" s="27"/>
      <c r="E1202" s="37"/>
      <c r="F1202" s="30"/>
      <c r="G1202" s="30"/>
    </row>
    <row r="1203" spans="3:7">
      <c r="C1203" s="27"/>
      <c r="E1203" s="37"/>
      <c r="F1203" s="30"/>
      <c r="G1203" s="30"/>
    </row>
    <row r="1204" spans="3:7">
      <c r="C1204" s="27"/>
      <c r="E1204" s="37"/>
      <c r="F1204" s="30"/>
      <c r="G1204" s="30"/>
    </row>
    <row r="1205" spans="3:7">
      <c r="C1205" s="27"/>
      <c r="E1205" s="37"/>
      <c r="F1205" s="30"/>
      <c r="G1205" s="30"/>
    </row>
    <row r="1206" spans="3:7">
      <c r="C1206" s="27"/>
      <c r="E1206" s="37"/>
      <c r="F1206" s="30"/>
      <c r="G1206" s="30"/>
    </row>
    <row r="1207" spans="3:7">
      <c r="C1207" s="27"/>
      <c r="E1207" s="37"/>
      <c r="F1207" s="30"/>
      <c r="G1207" s="30"/>
    </row>
    <row r="1208" spans="3:7">
      <c r="C1208" s="27"/>
      <c r="E1208" s="37"/>
      <c r="F1208" s="30"/>
      <c r="G1208" s="30"/>
    </row>
    <row r="1209" spans="3:7">
      <c r="C1209" s="27"/>
      <c r="E1209" s="37"/>
      <c r="F1209" s="30"/>
      <c r="G1209" s="30"/>
    </row>
    <row r="1210" spans="3:7">
      <c r="C1210" s="27"/>
      <c r="E1210" s="37"/>
      <c r="F1210" s="30"/>
      <c r="G1210" s="30"/>
    </row>
    <row r="1211" spans="3:7">
      <c r="C1211" s="27"/>
      <c r="E1211" s="37"/>
      <c r="F1211" s="30"/>
      <c r="G1211" s="30"/>
    </row>
    <row r="1212" spans="3:7">
      <c r="C1212" s="27"/>
      <c r="E1212" s="37"/>
      <c r="F1212" s="30"/>
      <c r="G1212" s="30"/>
    </row>
    <row r="1213" spans="3:7">
      <c r="C1213" s="27"/>
      <c r="E1213" s="37"/>
      <c r="F1213" s="30"/>
      <c r="G1213" s="30"/>
    </row>
    <row r="1214" spans="3:7">
      <c r="C1214" s="27"/>
      <c r="E1214" s="37"/>
      <c r="F1214" s="30"/>
      <c r="G1214" s="30"/>
    </row>
    <row r="1215" spans="3:7">
      <c r="C1215" s="27"/>
      <c r="E1215" s="37"/>
      <c r="F1215" s="30"/>
      <c r="G1215" s="30"/>
    </row>
    <row r="1216" spans="3:7">
      <c r="C1216" s="27"/>
      <c r="E1216" s="37"/>
      <c r="F1216" s="30"/>
      <c r="G1216" s="30"/>
    </row>
    <row r="1217" spans="3:7">
      <c r="C1217" s="27"/>
      <c r="E1217" s="37"/>
      <c r="F1217" s="30"/>
      <c r="G1217" s="30"/>
    </row>
    <row r="1218" spans="3:7">
      <c r="C1218" s="27"/>
      <c r="E1218" s="37"/>
      <c r="F1218" s="30"/>
      <c r="G1218" s="30"/>
    </row>
    <row r="1219" spans="3:7">
      <c r="C1219" s="27"/>
      <c r="E1219" s="37"/>
      <c r="F1219" s="30"/>
      <c r="G1219" s="30"/>
    </row>
    <row r="1220" spans="3:7">
      <c r="C1220" s="27"/>
      <c r="E1220" s="37"/>
      <c r="F1220" s="30"/>
      <c r="G1220" s="30"/>
    </row>
    <row r="1221" spans="3:7">
      <c r="C1221" s="27"/>
      <c r="E1221" s="37"/>
      <c r="F1221" s="30"/>
      <c r="G1221" s="30"/>
    </row>
    <row r="1222" spans="3:7">
      <c r="C1222" s="27"/>
      <c r="E1222" s="37"/>
      <c r="F1222" s="30"/>
      <c r="G1222" s="30"/>
    </row>
    <row r="1223" spans="3:7">
      <c r="C1223" s="27"/>
      <c r="E1223" s="37"/>
      <c r="F1223" s="30"/>
      <c r="G1223" s="30"/>
    </row>
    <row r="1224" spans="3:7">
      <c r="C1224" s="27"/>
      <c r="E1224" s="37"/>
      <c r="F1224" s="30"/>
      <c r="G1224" s="30"/>
    </row>
    <row r="1225" spans="3:7">
      <c r="C1225" s="27"/>
      <c r="E1225" s="37"/>
      <c r="F1225" s="30"/>
      <c r="G1225" s="30"/>
    </row>
    <row r="1226" spans="3:7">
      <c r="C1226" s="27"/>
      <c r="E1226" s="37"/>
      <c r="F1226" s="30"/>
      <c r="G1226" s="30"/>
    </row>
    <row r="1227" spans="3:7">
      <c r="C1227" s="27"/>
      <c r="E1227" s="37"/>
      <c r="F1227" s="30"/>
      <c r="G1227" s="30"/>
    </row>
    <row r="1228" spans="3:7">
      <c r="C1228" s="27"/>
      <c r="E1228" s="37"/>
      <c r="F1228" s="30"/>
      <c r="G1228" s="30"/>
    </row>
    <row r="1229" spans="3:7">
      <c r="C1229" s="27"/>
      <c r="E1229" s="37"/>
      <c r="F1229" s="30"/>
      <c r="G1229" s="30"/>
    </row>
    <row r="1230" spans="3:7">
      <c r="C1230" s="27"/>
      <c r="E1230" s="37"/>
      <c r="F1230" s="30"/>
      <c r="G1230" s="30"/>
    </row>
    <row r="1231" spans="3:7">
      <c r="C1231" s="27"/>
      <c r="E1231" s="37"/>
      <c r="F1231" s="30"/>
      <c r="G1231" s="30"/>
    </row>
    <row r="1232" spans="3:7">
      <c r="C1232" s="27"/>
      <c r="E1232" s="37"/>
      <c r="F1232" s="30"/>
      <c r="G1232" s="30"/>
    </row>
    <row r="1233" spans="3:7">
      <c r="C1233" s="27"/>
      <c r="E1233" s="37"/>
      <c r="F1233" s="30"/>
      <c r="G1233" s="30"/>
    </row>
    <row r="1235" spans="3:7">
      <c r="C1235" s="34"/>
      <c r="F1235" s="30"/>
      <c r="G1235" s="30"/>
    </row>
    <row r="1236" spans="3:7">
      <c r="C1236" s="34"/>
      <c r="F1236" s="30"/>
      <c r="G1236" s="30"/>
    </row>
    <row r="1237" spans="3:7">
      <c r="C1237" s="34"/>
      <c r="F1237" s="30"/>
      <c r="G1237" s="30"/>
    </row>
    <row r="1238" spans="3:7">
      <c r="C1238" s="34"/>
      <c r="F1238" s="30"/>
      <c r="G1238" s="30"/>
    </row>
    <row r="1239" spans="3:7">
      <c r="C1239" s="34"/>
      <c r="F1239" s="30"/>
      <c r="G1239" s="30"/>
    </row>
    <row r="1240" spans="3:7">
      <c r="C1240" s="34"/>
      <c r="F1240" s="30"/>
      <c r="G1240" s="30"/>
    </row>
    <row r="1241" spans="3:7">
      <c r="C1241" s="34"/>
      <c r="F1241" s="30"/>
      <c r="G1241" s="30"/>
    </row>
    <row r="1242" spans="3:7">
      <c r="C1242" s="34"/>
      <c r="F1242" s="30"/>
      <c r="G1242" s="30"/>
    </row>
    <row r="1243" spans="3:7">
      <c r="C1243" s="34"/>
      <c r="F1243" s="30"/>
      <c r="G1243" s="30"/>
    </row>
    <row r="1244" spans="3:7">
      <c r="C1244" s="34"/>
      <c r="F1244" s="30"/>
      <c r="G1244" s="30"/>
    </row>
    <row r="1245" spans="3:7">
      <c r="C1245" s="34"/>
      <c r="F1245" s="30"/>
      <c r="G1245" s="30"/>
    </row>
    <row r="1246" spans="3:7">
      <c r="C1246" s="34"/>
      <c r="F1246" s="30"/>
      <c r="G1246" s="30"/>
    </row>
    <row r="1247" spans="3:7">
      <c r="C1247" s="34"/>
      <c r="F1247" s="30"/>
      <c r="G1247" s="30"/>
    </row>
    <row r="1248" spans="3:7">
      <c r="C1248" s="34"/>
      <c r="F1248" s="30"/>
      <c r="G1248" s="30"/>
    </row>
    <row r="1249" spans="3:7">
      <c r="C1249" s="34"/>
      <c r="F1249" s="30"/>
      <c r="G1249" s="30"/>
    </row>
    <row r="1250" spans="3:7">
      <c r="C1250" s="34"/>
      <c r="F1250" s="30"/>
      <c r="G1250" s="30"/>
    </row>
    <row r="1251" spans="3:7">
      <c r="C1251" s="34"/>
      <c r="F1251" s="30"/>
      <c r="G1251" s="30"/>
    </row>
    <row r="1252" spans="3:7">
      <c r="C1252" s="34"/>
      <c r="F1252" s="30"/>
      <c r="G1252" s="30"/>
    </row>
    <row r="1253" spans="3:7">
      <c r="C1253" s="34"/>
      <c r="F1253" s="30"/>
      <c r="G1253" s="30"/>
    </row>
    <row r="1254" spans="3:7">
      <c r="C1254" s="34"/>
      <c r="F1254" s="30"/>
      <c r="G1254" s="30"/>
    </row>
    <row r="1255" spans="3:7">
      <c r="C1255" s="34"/>
      <c r="F1255" s="30"/>
      <c r="G1255" s="30"/>
    </row>
    <row r="1256" spans="3:7">
      <c r="C1256" s="34"/>
      <c r="F1256" s="30"/>
      <c r="G1256" s="30"/>
    </row>
    <row r="1257" spans="3:7">
      <c r="C1257" s="34"/>
      <c r="F1257" s="30"/>
      <c r="G1257" s="30"/>
    </row>
    <row r="1258" spans="3:7">
      <c r="C1258" s="34"/>
      <c r="F1258" s="30"/>
      <c r="G1258" s="30"/>
    </row>
    <row r="1259" spans="3:7">
      <c r="C1259" s="34"/>
      <c r="F1259" s="30"/>
      <c r="G1259" s="30"/>
    </row>
    <row r="1260" spans="3:7">
      <c r="C1260" s="34"/>
      <c r="F1260" s="30"/>
      <c r="G1260" s="30"/>
    </row>
    <row r="1261" spans="3:7">
      <c r="C1261" s="34"/>
      <c r="F1261" s="30"/>
      <c r="G1261" s="30"/>
    </row>
    <row r="1262" spans="3:7">
      <c r="C1262" s="34"/>
      <c r="F1262" s="30"/>
      <c r="G1262" s="30"/>
    </row>
    <row r="1263" spans="3:7">
      <c r="C1263" s="34"/>
      <c r="F1263" s="30"/>
      <c r="G1263" s="30"/>
    </row>
    <row r="1264" spans="3:7">
      <c r="C1264" s="34"/>
      <c r="F1264" s="30"/>
      <c r="G1264" s="30"/>
    </row>
    <row r="1265" spans="3:7">
      <c r="C1265" s="34"/>
      <c r="F1265" s="30"/>
      <c r="G1265" s="30"/>
    </row>
    <row r="1266" spans="3:7">
      <c r="C1266" s="34"/>
      <c r="F1266" s="30"/>
      <c r="G1266" s="30"/>
    </row>
    <row r="1267" spans="3:7">
      <c r="C1267" s="34"/>
      <c r="F1267" s="30"/>
      <c r="G1267" s="30"/>
    </row>
    <row r="1268" spans="3:7">
      <c r="C1268" s="34"/>
      <c r="F1268" s="30"/>
      <c r="G1268" s="30"/>
    </row>
    <row r="1269" spans="3:7">
      <c r="C1269" s="34"/>
      <c r="F1269" s="30"/>
      <c r="G1269" s="30"/>
    </row>
    <row r="1270" spans="3:7">
      <c r="C1270" s="34"/>
      <c r="F1270" s="30"/>
      <c r="G1270" s="30"/>
    </row>
    <row r="1271" spans="3:7">
      <c r="C1271" s="34"/>
      <c r="F1271" s="30"/>
      <c r="G1271" s="30"/>
    </row>
    <row r="1272" spans="3:7">
      <c r="C1272" s="34"/>
      <c r="F1272" s="30"/>
      <c r="G1272" s="30"/>
    </row>
    <row r="1273" spans="3:7">
      <c r="C1273" s="34"/>
      <c r="F1273" s="30"/>
      <c r="G1273" s="30"/>
    </row>
    <row r="1274" spans="3:7">
      <c r="C1274" s="34"/>
      <c r="F1274" s="30"/>
      <c r="G1274" s="30"/>
    </row>
    <row r="1275" spans="3:7">
      <c r="C1275" s="34"/>
      <c r="F1275" s="30"/>
      <c r="G1275" s="30"/>
    </row>
    <row r="1276" spans="3:7">
      <c r="C1276" s="34"/>
      <c r="F1276" s="30"/>
      <c r="G1276" s="30"/>
    </row>
    <row r="1277" spans="3:7">
      <c r="C1277" s="34"/>
      <c r="F1277" s="30"/>
      <c r="G1277" s="30"/>
    </row>
    <row r="1278" spans="3:7">
      <c r="C1278" s="34"/>
      <c r="F1278" s="30"/>
      <c r="G1278" s="30"/>
    </row>
    <row r="1279" spans="3:7">
      <c r="C1279" s="34"/>
      <c r="F1279" s="30"/>
      <c r="G1279" s="30"/>
    </row>
    <row r="1280" spans="3:7">
      <c r="C1280" s="34"/>
      <c r="F1280" s="30"/>
      <c r="G1280" s="30"/>
    </row>
    <row r="1281" spans="3:7">
      <c r="C1281" s="34"/>
      <c r="F1281" s="30"/>
      <c r="G1281" s="30"/>
    </row>
    <row r="1282" spans="3:7">
      <c r="C1282" s="34"/>
      <c r="F1282" s="30"/>
      <c r="G1282" s="30"/>
    </row>
    <row r="1283" spans="3:7">
      <c r="C1283" s="34"/>
      <c r="F1283" s="30"/>
      <c r="G1283" s="30"/>
    </row>
    <row r="1284" spans="3:7">
      <c r="C1284" s="34"/>
      <c r="F1284" s="30"/>
      <c r="G1284" s="30"/>
    </row>
    <row r="1285" spans="3:7">
      <c r="C1285" s="34"/>
      <c r="F1285" s="30"/>
      <c r="G1285" s="30"/>
    </row>
    <row r="1286" spans="3:7">
      <c r="C1286" s="34"/>
      <c r="F1286" s="30"/>
      <c r="G1286" s="30"/>
    </row>
    <row r="1287" spans="3:7">
      <c r="C1287" s="34"/>
      <c r="F1287" s="30"/>
      <c r="G1287" s="30"/>
    </row>
    <row r="1288" spans="3:7">
      <c r="C1288" s="34"/>
      <c r="F1288" s="30"/>
      <c r="G1288" s="30"/>
    </row>
    <row r="1289" spans="3:7">
      <c r="C1289" s="34"/>
      <c r="F1289" s="30"/>
      <c r="G1289" s="30"/>
    </row>
    <row r="1290" spans="3:7">
      <c r="C1290" s="34"/>
      <c r="F1290" s="30"/>
      <c r="G1290" s="30"/>
    </row>
    <row r="1291" spans="3:7">
      <c r="C1291" s="34"/>
      <c r="F1291" s="30"/>
      <c r="G1291" s="30"/>
    </row>
    <row r="1292" spans="3:7">
      <c r="C1292" s="34"/>
      <c r="F1292" s="30"/>
      <c r="G1292" s="30"/>
    </row>
    <row r="1293" spans="3:7">
      <c r="C1293" s="34"/>
      <c r="F1293" s="30"/>
      <c r="G1293" s="30"/>
    </row>
    <row r="1294" spans="3:7">
      <c r="C1294" s="34"/>
      <c r="F1294" s="30"/>
      <c r="G1294" s="30"/>
    </row>
    <row r="1295" spans="3:7">
      <c r="C1295" s="34"/>
      <c r="F1295" s="30"/>
      <c r="G1295" s="30"/>
    </row>
    <row r="1296" spans="3:7">
      <c r="C1296" s="34"/>
      <c r="F1296" s="30"/>
      <c r="G1296" s="30"/>
    </row>
    <row r="1297" spans="3:7">
      <c r="C1297" s="34"/>
      <c r="F1297" s="30"/>
      <c r="G1297" s="30"/>
    </row>
    <row r="1298" spans="3:7">
      <c r="C1298" s="34"/>
      <c r="F1298" s="30"/>
      <c r="G1298" s="30"/>
    </row>
    <row r="1299" spans="3:7">
      <c r="C1299" s="34"/>
      <c r="F1299" s="30"/>
      <c r="G1299" s="30"/>
    </row>
    <row r="1300" spans="3:7">
      <c r="C1300" s="34"/>
      <c r="F1300" s="30"/>
      <c r="G1300" s="30"/>
    </row>
    <row r="1301" spans="3:7">
      <c r="C1301" s="34"/>
      <c r="F1301" s="30"/>
      <c r="G1301" s="30"/>
    </row>
    <row r="1302" spans="3:7">
      <c r="C1302" s="34"/>
      <c r="F1302" s="30"/>
      <c r="G1302" s="30"/>
    </row>
    <row r="1303" spans="3:7">
      <c r="C1303" s="34"/>
      <c r="F1303" s="30"/>
      <c r="G1303" s="30"/>
    </row>
    <row r="1304" spans="3:7">
      <c r="C1304" s="34"/>
      <c r="F1304" s="30"/>
      <c r="G1304" s="30"/>
    </row>
    <row r="1305" spans="3:7">
      <c r="C1305" s="34"/>
      <c r="F1305" s="30"/>
      <c r="G1305" s="30"/>
    </row>
    <row r="1306" spans="3:7">
      <c r="C1306" s="34"/>
      <c r="F1306" s="30"/>
      <c r="G1306" s="30"/>
    </row>
    <row r="1307" spans="3:7">
      <c r="C1307" s="34"/>
      <c r="F1307" s="30"/>
      <c r="G1307" s="30"/>
    </row>
    <row r="1308" spans="3:7">
      <c r="C1308" s="34"/>
      <c r="F1308" s="30"/>
      <c r="G1308" s="30"/>
    </row>
    <row r="1309" spans="3:7">
      <c r="C1309" s="34"/>
      <c r="F1309" s="30"/>
      <c r="G1309" s="30"/>
    </row>
    <row r="1310" spans="3:7">
      <c r="C1310" s="34"/>
      <c r="F1310" s="30"/>
      <c r="G1310" s="30"/>
    </row>
    <row r="1311" spans="3:7">
      <c r="C1311" s="34"/>
      <c r="F1311" s="30"/>
      <c r="G1311" s="30"/>
    </row>
    <row r="1312" spans="3:7">
      <c r="C1312" s="34"/>
      <c r="F1312" s="30"/>
      <c r="G1312" s="30"/>
    </row>
    <row r="1313" spans="3:7">
      <c r="C1313" s="34"/>
      <c r="F1313" s="30"/>
      <c r="G1313" s="30"/>
    </row>
    <row r="1314" spans="3:7">
      <c r="C1314" s="34"/>
      <c r="F1314" s="30"/>
      <c r="G1314" s="30"/>
    </row>
    <row r="1315" spans="3:7">
      <c r="C1315" s="34"/>
      <c r="F1315" s="30"/>
      <c r="G1315" s="30"/>
    </row>
    <row r="1316" spans="3:7">
      <c r="C1316" s="34"/>
      <c r="F1316" s="30"/>
      <c r="G1316" s="30"/>
    </row>
    <row r="1317" spans="3:7">
      <c r="C1317" s="34"/>
      <c r="F1317" s="30"/>
      <c r="G1317" s="30"/>
    </row>
    <row r="1318" spans="3:7">
      <c r="C1318" s="34"/>
      <c r="F1318" s="30"/>
      <c r="G1318" s="30"/>
    </row>
    <row r="1319" spans="3:7">
      <c r="C1319" s="34"/>
      <c r="F1319" s="30"/>
      <c r="G1319" s="30"/>
    </row>
    <row r="1320" spans="3:7">
      <c r="C1320" s="34"/>
      <c r="F1320" s="30"/>
      <c r="G1320" s="30"/>
    </row>
    <row r="1321" spans="3:7">
      <c r="C1321" s="34"/>
      <c r="F1321" s="30"/>
      <c r="G1321" s="30"/>
    </row>
    <row r="1322" spans="3:7">
      <c r="C1322" s="34"/>
      <c r="F1322" s="30"/>
      <c r="G1322" s="30"/>
    </row>
    <row r="1323" spans="3:7">
      <c r="C1323" s="34"/>
      <c r="F1323" s="30"/>
      <c r="G1323" s="30"/>
    </row>
    <row r="1324" spans="3:7">
      <c r="C1324" s="34"/>
      <c r="F1324" s="30"/>
      <c r="G1324" s="30"/>
    </row>
    <row r="1325" spans="3:7">
      <c r="C1325" s="34"/>
      <c r="F1325" s="30"/>
      <c r="G1325" s="30"/>
    </row>
    <row r="1326" spans="3:7">
      <c r="C1326" s="34"/>
      <c r="F1326" s="30"/>
      <c r="G1326" s="30"/>
    </row>
    <row r="1327" spans="3:7">
      <c r="C1327" s="34"/>
      <c r="F1327" s="30"/>
      <c r="G1327" s="30"/>
    </row>
    <row r="1328" spans="3:7">
      <c r="C1328" s="34"/>
      <c r="F1328" s="30"/>
      <c r="G1328" s="30"/>
    </row>
    <row r="1329" spans="3:7">
      <c r="C1329" s="34"/>
      <c r="F1329" s="30"/>
      <c r="G1329" s="30"/>
    </row>
    <row r="1330" spans="3:7">
      <c r="C1330" s="34"/>
      <c r="F1330" s="30"/>
      <c r="G1330" s="30"/>
    </row>
    <row r="1331" spans="3:7">
      <c r="C1331" s="34"/>
      <c r="F1331" s="30"/>
      <c r="G1331" s="30"/>
    </row>
    <row r="1332" spans="3:7">
      <c r="C1332" s="34"/>
      <c r="F1332" s="30"/>
      <c r="G1332" s="30"/>
    </row>
    <row r="1333" spans="3:7">
      <c r="C1333" s="34"/>
      <c r="F1333" s="30"/>
      <c r="G1333" s="30"/>
    </row>
    <row r="1334" spans="3:7">
      <c r="C1334" s="34"/>
      <c r="F1334" s="30"/>
      <c r="G1334" s="30"/>
    </row>
    <row r="1335" spans="3:7">
      <c r="C1335" s="34"/>
      <c r="F1335" s="30"/>
      <c r="G1335" s="30"/>
    </row>
    <row r="1336" spans="3:7">
      <c r="C1336" s="34"/>
      <c r="F1336" s="30"/>
      <c r="G1336" s="30"/>
    </row>
    <row r="1337" spans="3:7">
      <c r="C1337" s="34"/>
      <c r="F1337" s="30"/>
      <c r="G1337" s="30"/>
    </row>
    <row r="1338" spans="3:7">
      <c r="C1338" s="34"/>
      <c r="F1338" s="30"/>
      <c r="G1338" s="30"/>
    </row>
    <row r="1339" spans="3:7">
      <c r="C1339" s="34"/>
      <c r="F1339" s="30"/>
      <c r="G1339" s="30"/>
    </row>
    <row r="1340" spans="3:7">
      <c r="C1340" s="34"/>
      <c r="F1340" s="30"/>
      <c r="G1340" s="30"/>
    </row>
    <row r="1341" spans="3:7">
      <c r="C1341" s="34"/>
      <c r="F1341" s="30"/>
      <c r="G1341" s="30"/>
    </row>
    <row r="1342" spans="3:7">
      <c r="C1342" s="34"/>
      <c r="F1342" s="30"/>
      <c r="G1342" s="30"/>
    </row>
    <row r="1343" spans="3:7">
      <c r="C1343" s="34"/>
      <c r="F1343" s="30"/>
      <c r="G1343" s="30"/>
    </row>
    <row r="1344" spans="3:7">
      <c r="C1344" s="34"/>
      <c r="F1344" s="30"/>
      <c r="G1344" s="30"/>
    </row>
    <row r="1345" spans="3:7">
      <c r="C1345" s="34"/>
      <c r="F1345" s="30"/>
      <c r="G1345" s="30"/>
    </row>
    <row r="1346" spans="3:7">
      <c r="C1346" s="34"/>
      <c r="F1346" s="30"/>
      <c r="G1346" s="30"/>
    </row>
    <row r="1347" spans="3:7">
      <c r="C1347" s="34"/>
      <c r="F1347" s="30"/>
      <c r="G1347" s="30"/>
    </row>
    <row r="1348" spans="3:7">
      <c r="C1348" s="34"/>
      <c r="F1348" s="30"/>
      <c r="G1348" s="30"/>
    </row>
    <row r="1349" spans="3:7">
      <c r="C1349" s="34"/>
      <c r="F1349" s="30"/>
      <c r="G1349" s="30"/>
    </row>
    <row r="1350" spans="3:7">
      <c r="C1350" s="34"/>
      <c r="F1350" s="30"/>
      <c r="G1350" s="30"/>
    </row>
    <row r="1351" spans="3:7">
      <c r="C1351" s="34"/>
      <c r="F1351" s="30"/>
      <c r="G1351" s="30"/>
    </row>
    <row r="1352" spans="3:7">
      <c r="C1352" s="34"/>
      <c r="F1352" s="30"/>
      <c r="G1352" s="30"/>
    </row>
    <row r="1353" spans="3:7">
      <c r="C1353" s="34"/>
      <c r="F1353" s="30"/>
      <c r="G1353" s="30"/>
    </row>
    <row r="1354" spans="3:7">
      <c r="C1354" s="34"/>
      <c r="F1354" s="30"/>
      <c r="G1354" s="30"/>
    </row>
    <row r="1355" spans="3:7">
      <c r="C1355" s="34"/>
      <c r="F1355" s="30"/>
      <c r="G1355" s="30"/>
    </row>
    <row r="1356" spans="3:7">
      <c r="C1356" s="34"/>
      <c r="F1356" s="30"/>
      <c r="G1356" s="30"/>
    </row>
    <row r="1357" spans="3:7">
      <c r="C1357" s="34"/>
      <c r="F1357" s="30"/>
      <c r="G1357" s="30"/>
    </row>
    <row r="1358" spans="3:7">
      <c r="C1358" s="34"/>
      <c r="F1358" s="30"/>
      <c r="G1358" s="30"/>
    </row>
    <row r="1359" spans="3:7">
      <c r="C1359" s="34"/>
      <c r="F1359" s="30"/>
      <c r="G1359" s="30"/>
    </row>
    <row r="1360" spans="3:7">
      <c r="C1360" s="34"/>
    </row>
    <row r="1361" spans="3:3">
      <c r="C1361" s="34"/>
    </row>
    <row r="1362" spans="3:3">
      <c r="C1362" s="34"/>
    </row>
    <row r="1363" spans="3:3">
      <c r="C1363" s="34"/>
    </row>
    <row r="1364" spans="3:3">
      <c r="C1364" s="34"/>
    </row>
    <row r="1365" spans="3:3">
      <c r="C1365" s="34"/>
    </row>
    <row r="1366" spans="3:3">
      <c r="C1366" s="34"/>
    </row>
    <row r="1367" spans="3:3">
      <c r="C1367" s="34"/>
    </row>
    <row r="1368" spans="3:3">
      <c r="C1368" s="34"/>
    </row>
    <row r="1369" spans="3:3">
      <c r="C1369" s="34"/>
    </row>
    <row r="1370" spans="3:3">
      <c r="C1370" s="34"/>
    </row>
    <row r="1371" spans="3:3">
      <c r="C1371" s="34"/>
    </row>
    <row r="1372" spans="3:3">
      <c r="C1372" s="34"/>
    </row>
    <row r="1373" spans="3:3">
      <c r="C1373" s="34"/>
    </row>
    <row r="1374" spans="3:3">
      <c r="C1374" s="34"/>
    </row>
    <row r="1375" spans="3:3">
      <c r="C1375" s="34"/>
    </row>
    <row r="1376" spans="3:3">
      <c r="C1376" s="34"/>
    </row>
    <row r="1377" spans="3:3">
      <c r="C1377" s="34"/>
    </row>
    <row r="1378" spans="3:3">
      <c r="C1378" s="34"/>
    </row>
    <row r="1379" spans="3:3">
      <c r="C1379" s="34"/>
    </row>
    <row r="1380" spans="3:3">
      <c r="C1380" s="34"/>
    </row>
    <row r="1381" spans="3:3">
      <c r="C1381" s="34"/>
    </row>
    <row r="1382" spans="3:3">
      <c r="C1382" s="34"/>
    </row>
    <row r="1383" spans="3:3">
      <c r="C1383" s="34"/>
    </row>
    <row r="1384" spans="3:3">
      <c r="C1384" s="34"/>
    </row>
    <row r="1385" spans="3:3">
      <c r="C1385" s="34"/>
    </row>
    <row r="1386" spans="3:3">
      <c r="C1386" s="34"/>
    </row>
    <row r="1387" spans="3:3">
      <c r="C1387" s="34"/>
    </row>
    <row r="1388" spans="3:3">
      <c r="C1388" s="34"/>
    </row>
    <row r="1389" spans="3:3">
      <c r="C1389" s="34"/>
    </row>
    <row r="1390" spans="3:3">
      <c r="C1390" s="34"/>
    </row>
    <row r="1391" spans="3:3">
      <c r="C1391" s="34"/>
    </row>
    <row r="1392" spans="3:3">
      <c r="C1392" s="34"/>
    </row>
    <row r="1393" spans="3:3">
      <c r="C1393" s="34"/>
    </row>
    <row r="1394" spans="3:3">
      <c r="C1394" s="34"/>
    </row>
    <row r="1395" spans="3:3">
      <c r="C1395" s="34"/>
    </row>
    <row r="1396" spans="3:3">
      <c r="C1396" s="34"/>
    </row>
    <row r="1397" spans="3:3">
      <c r="C1397" s="34"/>
    </row>
    <row r="1398" spans="3:3">
      <c r="C1398" s="34"/>
    </row>
    <row r="1399" spans="3:3">
      <c r="C1399" s="34"/>
    </row>
    <row r="1400" spans="3:3">
      <c r="C1400" s="34"/>
    </row>
    <row r="1401" spans="3:3">
      <c r="C1401" s="34"/>
    </row>
    <row r="1402" spans="3:3">
      <c r="C1402" s="34"/>
    </row>
    <row r="1403" spans="3:3">
      <c r="C1403" s="34"/>
    </row>
    <row r="1404" spans="3:3">
      <c r="C1404" s="34"/>
    </row>
    <row r="1405" spans="3:3">
      <c r="C1405" s="34"/>
    </row>
    <row r="1406" spans="3:3">
      <c r="C1406" s="34"/>
    </row>
    <row r="1407" spans="3:3">
      <c r="C1407" s="34"/>
    </row>
    <row r="1408" spans="3:3">
      <c r="C1408" s="34"/>
    </row>
    <row r="1409" spans="3:3">
      <c r="C1409" s="34"/>
    </row>
    <row r="1410" spans="3:3">
      <c r="C1410" s="34"/>
    </row>
    <row r="1411" spans="3:3">
      <c r="C1411" s="34"/>
    </row>
    <row r="1412" spans="3:3">
      <c r="C1412" s="34"/>
    </row>
    <row r="1413" spans="3:3">
      <c r="C1413" s="34"/>
    </row>
    <row r="1414" spans="3:3">
      <c r="C1414" s="34"/>
    </row>
    <row r="1415" spans="3:3">
      <c r="C1415" s="34"/>
    </row>
    <row r="1416" spans="3:3">
      <c r="C1416" s="34"/>
    </row>
    <row r="1417" spans="3:3">
      <c r="C1417" s="34"/>
    </row>
    <row r="1418" spans="3:3">
      <c r="C1418" s="34"/>
    </row>
    <row r="1419" spans="3:3">
      <c r="C1419" s="34"/>
    </row>
    <row r="1420" spans="3:3">
      <c r="C1420" s="34"/>
    </row>
    <row r="1421" spans="3:3">
      <c r="C1421" s="34"/>
    </row>
    <row r="1422" spans="3:3">
      <c r="C1422" s="34"/>
    </row>
    <row r="1423" spans="3:3">
      <c r="C1423" s="34"/>
    </row>
    <row r="1424" spans="3:3">
      <c r="C1424" s="34"/>
    </row>
    <row r="1425" spans="3:3">
      <c r="C1425" s="34"/>
    </row>
    <row r="1426" spans="3:3">
      <c r="C1426" s="34"/>
    </row>
    <row r="1427" spans="3:3">
      <c r="C1427" s="34"/>
    </row>
    <row r="1428" spans="3:3">
      <c r="C1428" s="34"/>
    </row>
    <row r="1429" spans="3:3">
      <c r="C1429" s="34"/>
    </row>
    <row r="1430" spans="3:3">
      <c r="C1430" s="34"/>
    </row>
    <row r="1431" spans="3:3">
      <c r="C1431" s="34"/>
    </row>
    <row r="1432" spans="3:3">
      <c r="C1432" s="34"/>
    </row>
    <row r="1433" spans="3:3">
      <c r="C1433" s="34"/>
    </row>
    <row r="1434" spans="3:3">
      <c r="C1434" s="34"/>
    </row>
    <row r="1435" spans="3:3">
      <c r="C1435" s="34"/>
    </row>
    <row r="1436" spans="3:3">
      <c r="C1436" s="34"/>
    </row>
    <row r="1437" spans="3:3">
      <c r="C1437" s="34"/>
    </row>
    <row r="1438" spans="3:3">
      <c r="C1438" s="34"/>
    </row>
    <row r="1439" spans="3:3">
      <c r="C1439" s="34"/>
    </row>
    <row r="1440" spans="3:3">
      <c r="C1440" s="34"/>
    </row>
    <row r="1441" spans="3:3">
      <c r="C1441" s="34"/>
    </row>
    <row r="1442" spans="3:3">
      <c r="C1442" s="34"/>
    </row>
    <row r="1443" spans="3:3">
      <c r="C1443" s="34"/>
    </row>
    <row r="1444" spans="3:3">
      <c r="C1444" s="34"/>
    </row>
    <row r="1445" spans="3:3">
      <c r="C1445" s="34"/>
    </row>
    <row r="1446" spans="3:3">
      <c r="C1446" s="34"/>
    </row>
    <row r="1447" spans="3:3">
      <c r="C1447" s="34"/>
    </row>
    <row r="1448" spans="3:3">
      <c r="C1448" s="34"/>
    </row>
    <row r="1449" spans="3:3">
      <c r="C1449" s="34"/>
    </row>
    <row r="1450" spans="3:3">
      <c r="C1450" s="34"/>
    </row>
    <row r="1451" spans="3:3">
      <c r="C1451" s="34"/>
    </row>
    <row r="1452" spans="3:3">
      <c r="C1452" s="34"/>
    </row>
    <row r="1453" spans="3:3">
      <c r="C1453" s="34"/>
    </row>
    <row r="1454" spans="3:3">
      <c r="C1454" s="34"/>
    </row>
    <row r="1455" spans="3:3">
      <c r="C1455" s="34"/>
    </row>
    <row r="1456" spans="3:3">
      <c r="C1456" s="34"/>
    </row>
    <row r="1457" spans="3:3">
      <c r="C1457" s="34"/>
    </row>
    <row r="1458" spans="3:3">
      <c r="C1458" s="34"/>
    </row>
    <row r="1459" spans="3:3">
      <c r="C1459" s="34"/>
    </row>
    <row r="1460" spans="3:3">
      <c r="C1460" s="34"/>
    </row>
    <row r="1461" spans="3:3">
      <c r="C1461" s="34"/>
    </row>
    <row r="1462" spans="3:3">
      <c r="C1462" s="34"/>
    </row>
    <row r="1463" spans="3:3">
      <c r="C1463" s="34"/>
    </row>
    <row r="1464" spans="3:3">
      <c r="C1464" s="34"/>
    </row>
    <row r="1465" spans="3:3">
      <c r="C1465" s="34"/>
    </row>
    <row r="1466" spans="3:3">
      <c r="C1466" s="34"/>
    </row>
    <row r="1467" spans="3:3">
      <c r="C1467" s="34"/>
    </row>
    <row r="1468" spans="3:3">
      <c r="C1468" s="34"/>
    </row>
    <row r="1469" spans="3:3">
      <c r="C1469" s="34"/>
    </row>
    <row r="1470" spans="3:3">
      <c r="C1470" s="34"/>
    </row>
    <row r="1471" spans="3:3">
      <c r="C1471" s="34"/>
    </row>
    <row r="1472" spans="3:3">
      <c r="C1472" s="34"/>
    </row>
    <row r="1473" spans="3:3">
      <c r="C1473" s="34"/>
    </row>
    <row r="1474" spans="3:3">
      <c r="C1474" s="34"/>
    </row>
    <row r="1475" spans="3:3">
      <c r="C1475" s="34"/>
    </row>
    <row r="1476" spans="3:3">
      <c r="C1476" s="34"/>
    </row>
    <row r="1477" spans="3:3">
      <c r="C1477" s="34"/>
    </row>
    <row r="1478" spans="3:3">
      <c r="C1478" s="34"/>
    </row>
    <row r="1479" spans="3:3">
      <c r="C1479" s="34"/>
    </row>
    <row r="1480" spans="3:3">
      <c r="C1480" s="34"/>
    </row>
    <row r="1481" spans="3:3">
      <c r="C1481" s="34"/>
    </row>
    <row r="1482" spans="3:3">
      <c r="C1482" s="34"/>
    </row>
    <row r="1483" spans="3:3">
      <c r="C1483" s="34"/>
    </row>
    <row r="1484" spans="3:3">
      <c r="C1484" s="34"/>
    </row>
    <row r="1485" spans="3:3">
      <c r="C1485" s="34"/>
    </row>
    <row r="1486" spans="3:3">
      <c r="C1486" s="34"/>
    </row>
    <row r="1487" spans="3:3">
      <c r="C1487" s="34"/>
    </row>
    <row r="1488" spans="3:3">
      <c r="C1488" s="34"/>
    </row>
    <row r="1489" spans="3:3">
      <c r="C1489" s="34"/>
    </row>
    <row r="1490" spans="3:3">
      <c r="C1490" s="34"/>
    </row>
    <row r="1491" spans="3:3">
      <c r="C1491" s="34"/>
    </row>
    <row r="1492" spans="3:3">
      <c r="C1492" s="34"/>
    </row>
    <row r="1493" spans="3:3">
      <c r="C1493" s="34"/>
    </row>
    <row r="1494" spans="3:3">
      <c r="C1494" s="34"/>
    </row>
    <row r="1495" spans="3:3">
      <c r="C1495" s="34"/>
    </row>
    <row r="1496" spans="3:3">
      <c r="C1496" s="34"/>
    </row>
    <row r="1497" spans="3:3">
      <c r="C1497" s="34"/>
    </row>
    <row r="1498" spans="3:3">
      <c r="C1498" s="34"/>
    </row>
    <row r="1499" spans="3:3">
      <c r="C1499" s="34"/>
    </row>
    <row r="1500" spans="3:3">
      <c r="C1500" s="34"/>
    </row>
    <row r="1501" spans="3:3">
      <c r="C1501" s="34"/>
    </row>
    <row r="1502" spans="3:3">
      <c r="C1502" s="34"/>
    </row>
    <row r="1503" spans="3:3">
      <c r="C1503" s="34"/>
    </row>
    <row r="1505" spans="3:7">
      <c r="C1505" s="34"/>
      <c r="F1505" s="30"/>
      <c r="G1505" s="30"/>
    </row>
    <row r="1506" spans="3:7">
      <c r="C1506" s="34"/>
      <c r="F1506" s="30"/>
      <c r="G1506" s="30"/>
    </row>
    <row r="1507" spans="3:7">
      <c r="C1507" s="34"/>
      <c r="F1507" s="30"/>
      <c r="G1507" s="30"/>
    </row>
    <row r="1508" spans="3:7">
      <c r="C1508" s="34"/>
      <c r="F1508" s="30"/>
      <c r="G1508" s="30"/>
    </row>
    <row r="1509" spans="3:7">
      <c r="C1509" s="34"/>
      <c r="F1509" s="30"/>
      <c r="G1509" s="30"/>
    </row>
    <row r="1510" spans="3:7">
      <c r="C1510" s="34"/>
      <c r="F1510" s="30"/>
      <c r="G1510" s="30"/>
    </row>
    <row r="1511" spans="3:7">
      <c r="C1511" s="34"/>
      <c r="F1511" s="30"/>
      <c r="G1511" s="30"/>
    </row>
    <row r="1512" spans="3:7">
      <c r="C1512" s="34"/>
      <c r="F1512" s="30"/>
      <c r="G1512" s="30"/>
    </row>
    <row r="1513" spans="3:7">
      <c r="C1513" s="34"/>
      <c r="F1513" s="30"/>
      <c r="G1513" s="30"/>
    </row>
    <row r="1514" spans="3:7">
      <c r="C1514" s="34"/>
      <c r="F1514" s="30"/>
      <c r="G1514" s="30"/>
    </row>
    <row r="1515" spans="3:7">
      <c r="C1515" s="34"/>
      <c r="F1515" s="30"/>
      <c r="G1515" s="30"/>
    </row>
    <row r="1516" spans="3:7">
      <c r="C1516" s="34"/>
      <c r="F1516" s="30"/>
      <c r="G1516" s="30"/>
    </row>
    <row r="1517" spans="3:7">
      <c r="C1517" s="34"/>
      <c r="F1517" s="30"/>
      <c r="G1517" s="30"/>
    </row>
    <row r="1518" spans="3:7">
      <c r="C1518" s="34"/>
      <c r="F1518" s="30"/>
      <c r="G1518" s="30"/>
    </row>
    <row r="1519" spans="3:7">
      <c r="C1519" s="34"/>
      <c r="F1519" s="30"/>
      <c r="G1519" s="30"/>
    </row>
    <row r="1520" spans="3:7">
      <c r="C1520" s="34"/>
      <c r="F1520" s="30"/>
      <c r="G1520" s="30"/>
    </row>
    <row r="1521" spans="3:7">
      <c r="C1521" s="34"/>
      <c r="F1521" s="30"/>
      <c r="G1521" s="30"/>
    </row>
    <row r="1522" spans="3:7">
      <c r="C1522" s="34"/>
      <c r="F1522" s="30"/>
      <c r="G1522" s="30"/>
    </row>
    <row r="1523" spans="3:7">
      <c r="C1523" s="34"/>
      <c r="F1523" s="30"/>
      <c r="G1523" s="30"/>
    </row>
    <row r="1524" spans="3:7">
      <c r="C1524" s="34"/>
      <c r="F1524" s="30"/>
      <c r="G1524" s="30"/>
    </row>
    <row r="1525" spans="3:7">
      <c r="C1525" s="34"/>
      <c r="F1525" s="30"/>
      <c r="G1525" s="30"/>
    </row>
    <row r="1526" spans="3:7">
      <c r="C1526" s="34"/>
      <c r="F1526" s="30"/>
      <c r="G1526" s="30"/>
    </row>
    <row r="1527" spans="3:7">
      <c r="C1527" s="34"/>
      <c r="F1527" s="30"/>
      <c r="G1527" s="30"/>
    </row>
    <row r="1528" spans="3:7">
      <c r="C1528" s="34"/>
      <c r="F1528" s="30"/>
      <c r="G1528" s="30"/>
    </row>
    <row r="1529" spans="3:7">
      <c r="C1529" s="34"/>
      <c r="F1529" s="30"/>
      <c r="G1529" s="30"/>
    </row>
    <row r="1530" spans="3:7">
      <c r="C1530" s="34"/>
      <c r="F1530" s="30"/>
      <c r="G1530" s="30"/>
    </row>
    <row r="1531" spans="3:7">
      <c r="C1531" s="34"/>
      <c r="F1531" s="30"/>
      <c r="G1531" s="30"/>
    </row>
    <row r="1532" spans="3:7">
      <c r="C1532" s="34"/>
      <c r="F1532" s="30"/>
      <c r="G1532" s="30"/>
    </row>
    <row r="1533" spans="3:7">
      <c r="C1533" s="34"/>
      <c r="F1533" s="30"/>
      <c r="G1533" s="30"/>
    </row>
    <row r="1534" spans="3:7">
      <c r="C1534" s="34"/>
      <c r="F1534" s="30"/>
      <c r="G1534" s="30"/>
    </row>
    <row r="1535" spans="3:7">
      <c r="C1535" s="34"/>
      <c r="F1535" s="30"/>
      <c r="G1535" s="30"/>
    </row>
    <row r="1536" spans="3:7">
      <c r="C1536" s="34"/>
      <c r="F1536" s="30"/>
      <c r="G1536" s="30"/>
    </row>
    <row r="1537" spans="3:7">
      <c r="C1537" s="34"/>
      <c r="F1537" s="30"/>
      <c r="G1537" s="30"/>
    </row>
    <row r="1538" spans="3:7">
      <c r="C1538" s="34"/>
      <c r="F1538" s="30"/>
      <c r="G1538" s="30"/>
    </row>
    <row r="1539" spans="3:7">
      <c r="C1539" s="34"/>
      <c r="F1539" s="30"/>
      <c r="G1539" s="30"/>
    </row>
    <row r="1540" spans="3:7">
      <c r="C1540" s="34"/>
      <c r="F1540" s="30"/>
      <c r="G1540" s="30"/>
    </row>
    <row r="1541" spans="3:7">
      <c r="C1541" s="34"/>
      <c r="F1541" s="30"/>
      <c r="G1541" s="30"/>
    </row>
    <row r="1542" spans="3:7">
      <c r="C1542" s="34"/>
      <c r="F1542" s="30"/>
      <c r="G1542" s="30"/>
    </row>
    <row r="1543" spans="3:7">
      <c r="C1543" s="34"/>
      <c r="F1543" s="30"/>
      <c r="G1543" s="30"/>
    </row>
    <row r="1544" spans="3:7">
      <c r="C1544" s="34"/>
      <c r="F1544" s="30"/>
      <c r="G1544" s="30"/>
    </row>
    <row r="1545" spans="3:7">
      <c r="C1545" s="34"/>
      <c r="F1545" s="30"/>
      <c r="G1545" s="30"/>
    </row>
    <row r="1546" spans="3:7">
      <c r="C1546" s="34"/>
      <c r="F1546" s="30"/>
      <c r="G1546" s="30"/>
    </row>
    <row r="1547" spans="3:7">
      <c r="C1547" s="34"/>
      <c r="F1547" s="30"/>
      <c r="G1547" s="30"/>
    </row>
    <row r="1548" spans="3:7">
      <c r="C1548" s="34"/>
      <c r="F1548" s="30"/>
      <c r="G1548" s="30"/>
    </row>
    <row r="1549" spans="3:7">
      <c r="C1549" s="34"/>
      <c r="F1549" s="30"/>
      <c r="G1549" s="30"/>
    </row>
    <row r="1550" spans="3:7">
      <c r="C1550" s="34"/>
      <c r="F1550" s="30"/>
      <c r="G1550" s="30"/>
    </row>
    <row r="1551" spans="3:7">
      <c r="C1551" s="34"/>
      <c r="F1551" s="30"/>
      <c r="G1551" s="30"/>
    </row>
    <row r="1552" spans="3:7">
      <c r="C1552" s="34"/>
      <c r="F1552" s="30"/>
      <c r="G1552" s="30"/>
    </row>
    <row r="1553" spans="3:7">
      <c r="C1553" s="34"/>
      <c r="F1553" s="30"/>
      <c r="G1553" s="30"/>
    </row>
    <row r="1554" spans="3:7">
      <c r="C1554" s="34"/>
      <c r="F1554" s="30"/>
      <c r="G1554" s="30"/>
    </row>
    <row r="1555" spans="3:7">
      <c r="C1555" s="34"/>
      <c r="F1555" s="30"/>
      <c r="G1555" s="30"/>
    </row>
    <row r="1556" spans="3:7">
      <c r="C1556" s="34"/>
      <c r="F1556" s="30"/>
      <c r="G1556" s="30"/>
    </row>
    <row r="1557" spans="3:7">
      <c r="C1557" s="34"/>
      <c r="F1557" s="30"/>
      <c r="G1557" s="30"/>
    </row>
    <row r="1558" spans="3:7">
      <c r="C1558" s="34"/>
      <c r="F1558" s="30"/>
      <c r="G1558" s="30"/>
    </row>
    <row r="1559" spans="3:7">
      <c r="C1559" s="34"/>
      <c r="F1559" s="30"/>
      <c r="G1559" s="30"/>
    </row>
    <row r="1560" spans="3:7">
      <c r="C1560" s="34"/>
      <c r="F1560" s="30"/>
      <c r="G1560" s="30"/>
    </row>
    <row r="1561" spans="3:7">
      <c r="C1561" s="34"/>
      <c r="F1561" s="30"/>
      <c r="G1561" s="30"/>
    </row>
    <row r="1562" spans="3:7">
      <c r="C1562" s="34"/>
      <c r="F1562" s="30"/>
      <c r="G1562" s="30"/>
    </row>
    <row r="1563" spans="3:7">
      <c r="C1563" s="34"/>
      <c r="F1563" s="30"/>
      <c r="G1563" s="30"/>
    </row>
    <row r="1564" spans="3:7">
      <c r="C1564" s="34"/>
      <c r="F1564" s="30"/>
      <c r="G1564" s="30"/>
    </row>
    <row r="1565" spans="3:7">
      <c r="C1565" s="34"/>
      <c r="F1565" s="30"/>
      <c r="G1565" s="30"/>
    </row>
    <row r="1566" spans="3:7">
      <c r="C1566" s="34"/>
      <c r="F1566" s="30"/>
      <c r="G1566" s="30"/>
    </row>
    <row r="1567" spans="3:7">
      <c r="C1567" s="34"/>
      <c r="F1567" s="30"/>
      <c r="G1567" s="30"/>
    </row>
    <row r="1568" spans="3:7">
      <c r="C1568" s="34"/>
      <c r="F1568" s="30"/>
      <c r="G1568" s="30"/>
    </row>
    <row r="1569" spans="3:7">
      <c r="C1569" s="34"/>
      <c r="F1569" s="30"/>
      <c r="G1569" s="30"/>
    </row>
    <row r="1570" spans="3:7">
      <c r="C1570" s="34"/>
      <c r="F1570" s="30"/>
      <c r="G1570" s="30"/>
    </row>
    <row r="1571" spans="3:7">
      <c r="C1571" s="34"/>
      <c r="F1571" s="30"/>
      <c r="G1571" s="30"/>
    </row>
    <row r="1572" spans="3:7">
      <c r="C1572" s="34"/>
      <c r="F1572" s="30"/>
      <c r="G1572" s="30"/>
    </row>
    <row r="1573" spans="3:7">
      <c r="C1573" s="34"/>
      <c r="F1573" s="30"/>
      <c r="G1573" s="30"/>
    </row>
    <row r="1574" spans="3:7">
      <c r="C1574" s="34"/>
      <c r="F1574" s="30"/>
      <c r="G1574" s="30"/>
    </row>
    <row r="1575" spans="3:7">
      <c r="C1575" s="34"/>
      <c r="F1575" s="30"/>
      <c r="G1575" s="30"/>
    </row>
    <row r="1576" spans="3:7">
      <c r="C1576" s="34"/>
      <c r="F1576" s="30"/>
      <c r="G1576" s="30"/>
    </row>
    <row r="1577" spans="3:7">
      <c r="C1577" s="34"/>
      <c r="F1577" s="30"/>
      <c r="G1577" s="30"/>
    </row>
    <row r="1578" spans="3:7">
      <c r="C1578" s="34"/>
      <c r="F1578" s="30"/>
      <c r="G1578" s="30"/>
    </row>
    <row r="1579" spans="3:7">
      <c r="C1579" s="34"/>
      <c r="F1579" s="30"/>
      <c r="G1579" s="30"/>
    </row>
    <row r="1580" spans="3:7">
      <c r="C1580" s="34"/>
      <c r="F1580" s="30"/>
      <c r="G1580" s="30"/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582"/>
  <sheetViews>
    <sheetView workbookViewId="0">
      <pane ySplit="1" topLeftCell="A2" activePane="bottomLeft" state="frozen"/>
      <selection pane="bottomLeft" activeCell="I4" sqref="I4"/>
    </sheetView>
  </sheetViews>
  <sheetFormatPr baseColWidth="10" defaultColWidth="10.83203125" defaultRowHeight="16"/>
  <cols>
    <col min="1" max="1" width="24.33203125" style="4" customWidth="1"/>
    <col min="2" max="2" width="9.5" style="4" customWidth="1"/>
    <col min="3" max="3" width="10.1640625" style="4" customWidth="1"/>
    <col min="4" max="4" width="10.1640625" style="36" customWidth="1"/>
    <col min="5" max="5" width="11.1640625" style="1" customWidth="1"/>
    <col min="6" max="6" width="18" style="1" customWidth="1"/>
    <col min="7" max="7" width="14.33203125" style="1" customWidth="1"/>
    <col min="8" max="8" width="16.83203125" style="101" customWidth="1"/>
    <col min="9" max="9" width="13" style="1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9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27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9">
      <c r="A2" s="1" t="s">
        <v>28</v>
      </c>
      <c r="B2" s="1" t="s">
        <v>29</v>
      </c>
      <c r="C2" s="27">
        <v>65.45946808510638</v>
      </c>
      <c r="D2" s="28">
        <f t="shared" ref="D2:D33" si="0">C2*1000</f>
        <v>65459.468085106382</v>
      </c>
      <c r="E2" s="1" t="s">
        <v>30</v>
      </c>
      <c r="F2" s="29">
        <v>9.2681870000000011</v>
      </c>
      <c r="G2" s="30">
        <v>-1.1059250000000009</v>
      </c>
      <c r="H2" s="101">
        <f>(F2-10.58330041)/1.140803952</f>
        <v>-1.152795278885919</v>
      </c>
      <c r="I2" s="3">
        <v>0.28839815057099999</v>
      </c>
      <c r="J2" s="88">
        <v>66000</v>
      </c>
      <c r="K2" s="3">
        <v>0.27196785160300002</v>
      </c>
      <c r="L2" s="88">
        <v>66000</v>
      </c>
      <c r="M2" s="3">
        <v>0.116575683083</v>
      </c>
      <c r="N2" s="88">
        <v>66000</v>
      </c>
      <c r="O2" s="3">
        <v>0.26222625667100002</v>
      </c>
      <c r="P2" s="88">
        <v>66050</v>
      </c>
    </row>
    <row r="3" spans="1:19">
      <c r="A3" s="1" t="s">
        <v>28</v>
      </c>
      <c r="B3" s="1" t="s">
        <v>29</v>
      </c>
      <c r="C3" s="27">
        <v>65.566250000000011</v>
      </c>
      <c r="D3" s="28">
        <f t="shared" si="0"/>
        <v>65566.250000000015</v>
      </c>
      <c r="E3" s="1" t="s">
        <v>30</v>
      </c>
      <c r="F3" s="29">
        <v>10.064075000000003</v>
      </c>
      <c r="G3" s="30">
        <v>-0.31003699999999945</v>
      </c>
      <c r="H3" s="101">
        <f t="shared" ref="H3:H66" si="1">(F3-10.58330041)/1.140803952</f>
        <v>-0.45513991171727386</v>
      </c>
      <c r="I3" s="3">
        <v>1.13376448023</v>
      </c>
      <c r="J3" s="88">
        <v>66200</v>
      </c>
      <c r="K3" s="3">
        <v>1.2084078927399999</v>
      </c>
      <c r="L3" s="88">
        <v>66150</v>
      </c>
      <c r="M3" s="3">
        <v>0.96423228356400004</v>
      </c>
      <c r="N3" s="88">
        <v>66100</v>
      </c>
      <c r="O3" s="3">
        <v>0.65743110243000003</v>
      </c>
      <c r="P3" s="88">
        <v>66100</v>
      </c>
    </row>
    <row r="4" spans="1:19">
      <c r="A4" s="1" t="s">
        <v>28</v>
      </c>
      <c r="B4" s="1" t="s">
        <v>29</v>
      </c>
      <c r="C4" s="27">
        <v>65.894166666666663</v>
      </c>
      <c r="D4" s="28">
        <f t="shared" si="0"/>
        <v>65894.166666666657</v>
      </c>
      <c r="E4" s="1" t="s">
        <v>30</v>
      </c>
      <c r="F4" s="29">
        <v>10.019808000000001</v>
      </c>
      <c r="G4" s="30">
        <v>-0.35430400000000084</v>
      </c>
      <c r="H4" s="101">
        <f t="shared" si="1"/>
        <v>-0.49394324854162019</v>
      </c>
      <c r="I4" s="3">
        <v>1.5077086615699999</v>
      </c>
      <c r="J4" s="88">
        <v>66400</v>
      </c>
      <c r="K4" s="3">
        <v>1.62421158895</v>
      </c>
      <c r="L4" s="88">
        <v>66300</v>
      </c>
      <c r="M4" s="3">
        <v>0.69940983147000002</v>
      </c>
      <c r="N4" s="88">
        <v>66200</v>
      </c>
      <c r="O4" s="3">
        <v>0.70083908668600003</v>
      </c>
      <c r="P4" s="88">
        <v>66150</v>
      </c>
    </row>
    <row r="5" spans="1:19">
      <c r="A5" s="1" t="s">
        <v>28</v>
      </c>
      <c r="B5" s="1" t="s">
        <v>29</v>
      </c>
      <c r="C5" s="27">
        <v>65.996250000000003</v>
      </c>
      <c r="D5" s="28">
        <f t="shared" si="0"/>
        <v>65996.25</v>
      </c>
      <c r="E5" s="1" t="s">
        <v>30</v>
      </c>
      <c r="F5" s="29">
        <v>10.640092000000003</v>
      </c>
      <c r="G5" s="30">
        <v>0.26598000000000077</v>
      </c>
      <c r="H5" s="101">
        <f t="shared" si="1"/>
        <v>4.9782076841896422E-2</v>
      </c>
      <c r="I5" s="3">
        <v>1.3762224410899999</v>
      </c>
      <c r="J5" s="88">
        <v>66600</v>
      </c>
      <c r="K5" s="3">
        <v>1.48579429149</v>
      </c>
      <c r="L5" s="88">
        <v>66450</v>
      </c>
      <c r="M5" s="3">
        <v>1.6334121180800001</v>
      </c>
      <c r="N5" s="88">
        <v>66300</v>
      </c>
      <c r="O5" s="3">
        <v>0.78980441661699996</v>
      </c>
      <c r="P5" s="88">
        <v>66200</v>
      </c>
    </row>
    <row r="6" spans="1:19">
      <c r="A6" s="1" t="s">
        <v>28</v>
      </c>
      <c r="B6" s="1" t="s">
        <v>29</v>
      </c>
      <c r="C6" s="27">
        <v>66.045581291759476</v>
      </c>
      <c r="D6" s="28">
        <f t="shared" si="0"/>
        <v>66045.581291759474</v>
      </c>
      <c r="E6" s="1" t="s">
        <v>30</v>
      </c>
      <c r="F6" s="29">
        <v>10.374112000000002</v>
      </c>
      <c r="G6" s="30">
        <v>0</v>
      </c>
      <c r="H6" s="101">
        <f t="shared" si="1"/>
        <v>-0.18336928937987906</v>
      </c>
      <c r="I6" s="3">
        <v>0.28926968506900003</v>
      </c>
      <c r="J6" s="88">
        <v>66800</v>
      </c>
      <c r="K6" s="3">
        <v>1.6238548230000001</v>
      </c>
      <c r="L6" s="88">
        <v>66600</v>
      </c>
      <c r="M6" s="3">
        <v>1.43977411432</v>
      </c>
      <c r="N6" s="88">
        <v>66400</v>
      </c>
      <c r="O6" s="3">
        <v>0.52707566344000001</v>
      </c>
      <c r="P6" s="88">
        <v>66250</v>
      </c>
    </row>
    <row r="7" spans="1:19">
      <c r="A7" s="1" t="s">
        <v>28</v>
      </c>
      <c r="B7" s="1" t="s">
        <v>29</v>
      </c>
      <c r="C7" s="27">
        <v>66.045581291759476</v>
      </c>
      <c r="D7" s="28">
        <f t="shared" si="0"/>
        <v>66045.581291759474</v>
      </c>
      <c r="E7" s="1" t="s">
        <v>30</v>
      </c>
      <c r="F7" s="29">
        <v>10.507075000000002</v>
      </c>
      <c r="G7" s="30">
        <v>0.13296300000000016</v>
      </c>
      <c r="H7" s="101">
        <f t="shared" si="1"/>
        <v>-6.6817273788684683E-2</v>
      </c>
      <c r="I7" s="3">
        <v>5.8086667624100002E-2</v>
      </c>
      <c r="J7" s="88">
        <v>67200</v>
      </c>
      <c r="K7" s="3">
        <v>0.29012763265800001</v>
      </c>
      <c r="L7" s="88">
        <v>66750</v>
      </c>
      <c r="M7" s="3">
        <v>1.38279675211</v>
      </c>
      <c r="N7" s="88">
        <v>66500</v>
      </c>
      <c r="O7" s="3">
        <v>1.1746102363399999</v>
      </c>
      <c r="P7" s="88">
        <v>66300</v>
      </c>
    </row>
    <row r="8" spans="1:19">
      <c r="A8" s="1" t="s">
        <v>28</v>
      </c>
      <c r="B8" s="1" t="s">
        <v>29</v>
      </c>
      <c r="C8" s="27">
        <v>66.05514922048998</v>
      </c>
      <c r="D8" s="28">
        <f t="shared" si="0"/>
        <v>66055.149220489984</v>
      </c>
      <c r="E8" s="1" t="s">
        <v>30</v>
      </c>
      <c r="F8" s="29">
        <v>10.595747000000001</v>
      </c>
      <c r="G8" s="30">
        <v>0.22163499999999914</v>
      </c>
      <c r="H8" s="101">
        <f t="shared" si="1"/>
        <v>1.0910367182880762E-2</v>
      </c>
      <c r="I8" s="3">
        <v>0.504204073674</v>
      </c>
      <c r="J8" s="88">
        <v>67800</v>
      </c>
      <c r="K8" s="3">
        <v>0.504204073674</v>
      </c>
      <c r="L8" s="88">
        <v>67800</v>
      </c>
      <c r="M8" s="3">
        <v>1.76848966554</v>
      </c>
      <c r="N8" s="88">
        <v>66600</v>
      </c>
      <c r="O8" s="3">
        <v>0.83404207892399995</v>
      </c>
      <c r="P8" s="88">
        <v>66350</v>
      </c>
    </row>
    <row r="9" spans="1:19">
      <c r="A9" s="1" t="s">
        <v>28</v>
      </c>
      <c r="B9" s="1" t="s">
        <v>29</v>
      </c>
      <c r="C9" s="27">
        <v>66.05514922048998</v>
      </c>
      <c r="D9" s="28">
        <f t="shared" si="0"/>
        <v>66055.149220489984</v>
      </c>
      <c r="E9" s="1" t="s">
        <v>30</v>
      </c>
      <c r="F9" s="29">
        <v>10.241203000000002</v>
      </c>
      <c r="G9" s="30">
        <v>-0.13290899999999972</v>
      </c>
      <c r="H9" s="101">
        <f t="shared" si="1"/>
        <v>-0.29987396993168675</v>
      </c>
      <c r="M9" s="3">
        <v>0.57853937013800005</v>
      </c>
      <c r="N9" s="88">
        <v>66700</v>
      </c>
      <c r="O9" s="3">
        <v>1.3433508859600001</v>
      </c>
      <c r="P9" s="88">
        <v>66400</v>
      </c>
      <c r="S9" s="2" t="s">
        <v>31</v>
      </c>
    </row>
    <row r="10" spans="1:19">
      <c r="A10" s="41" t="s">
        <v>32</v>
      </c>
      <c r="B10" s="41" t="s">
        <v>33</v>
      </c>
      <c r="C10" s="42">
        <v>66.067099999999996</v>
      </c>
      <c r="D10" s="28">
        <f t="shared" si="0"/>
        <v>66067.099999999991</v>
      </c>
      <c r="E10" s="1" t="s">
        <v>30</v>
      </c>
      <c r="F10" s="43">
        <v>11.66</v>
      </c>
      <c r="G10" s="44">
        <v>0</v>
      </c>
      <c r="H10" s="101">
        <f t="shared" si="1"/>
        <v>0.94380773147952812</v>
      </c>
      <c r="O10" s="3">
        <v>0.60921948825200001</v>
      </c>
      <c r="P10" s="88">
        <v>66450</v>
      </c>
    </row>
    <row r="11" spans="1:19">
      <c r="A11" s="41" t="s">
        <v>32</v>
      </c>
      <c r="B11" s="41" t="s">
        <v>33</v>
      </c>
      <c r="C11" s="42">
        <v>66.067099999999996</v>
      </c>
      <c r="D11" s="28">
        <f t="shared" si="0"/>
        <v>66067.099999999991</v>
      </c>
      <c r="E11" s="1" t="s">
        <v>30</v>
      </c>
      <c r="F11" s="43">
        <v>9.0500000000000007</v>
      </c>
      <c r="G11" s="44">
        <v>0</v>
      </c>
      <c r="H11" s="101">
        <f t="shared" si="1"/>
        <v>-1.3440525055263826</v>
      </c>
      <c r="O11" s="3">
        <v>1.1899502954000001</v>
      </c>
      <c r="P11" s="88">
        <v>66500</v>
      </c>
    </row>
    <row r="12" spans="1:19">
      <c r="A12" s="41" t="s">
        <v>32</v>
      </c>
      <c r="B12" s="41" t="s">
        <v>29</v>
      </c>
      <c r="C12" s="42">
        <v>66.075900000000004</v>
      </c>
      <c r="D12" s="28">
        <f t="shared" si="0"/>
        <v>66075.900000000009</v>
      </c>
      <c r="E12" s="1" t="s">
        <v>30</v>
      </c>
      <c r="F12" s="43">
        <v>11.39</v>
      </c>
      <c r="G12" s="44">
        <v>-0.27</v>
      </c>
      <c r="H12" s="101">
        <f t="shared" si="1"/>
        <v>0.7071325345478825</v>
      </c>
      <c r="O12" s="3">
        <v>1.0080610237300001</v>
      </c>
      <c r="P12" s="88">
        <v>66550</v>
      </c>
    </row>
    <row r="13" spans="1:19">
      <c r="A13" s="41" t="s">
        <v>32</v>
      </c>
      <c r="B13" s="41" t="s">
        <v>29</v>
      </c>
      <c r="C13" s="42">
        <v>66.075900000000004</v>
      </c>
      <c r="D13" s="28">
        <f t="shared" si="0"/>
        <v>66075.900000000009</v>
      </c>
      <c r="E13" s="1" t="s">
        <v>30</v>
      </c>
      <c r="F13" s="43">
        <v>10.29</v>
      </c>
      <c r="G13" s="44">
        <v>1.24</v>
      </c>
      <c r="H13" s="101">
        <f t="shared" si="1"/>
        <v>-0.25709974924771345</v>
      </c>
      <c r="O13" s="3">
        <v>1.72027805136</v>
      </c>
      <c r="P13" s="88">
        <v>66600</v>
      </c>
    </row>
    <row r="14" spans="1:19">
      <c r="A14" s="1" t="s">
        <v>28</v>
      </c>
      <c r="B14" s="1" t="s">
        <v>29</v>
      </c>
      <c r="C14" s="27">
        <v>66.076677060133633</v>
      </c>
      <c r="D14" s="28">
        <f t="shared" si="0"/>
        <v>66076.677060133632</v>
      </c>
      <c r="E14" s="1" t="s">
        <v>30</v>
      </c>
      <c r="F14" s="29">
        <v>10.507075000000002</v>
      </c>
      <c r="G14" s="30">
        <v>0.13296300000000016</v>
      </c>
      <c r="H14" s="101">
        <f t="shared" si="1"/>
        <v>-6.6817273788684683E-2</v>
      </c>
      <c r="O14" s="3">
        <v>0.600453740219</v>
      </c>
      <c r="P14" s="88">
        <v>66650</v>
      </c>
    </row>
    <row r="15" spans="1:19">
      <c r="A15" s="1" t="s">
        <v>28</v>
      </c>
      <c r="B15" s="1" t="s">
        <v>29</v>
      </c>
      <c r="C15" s="27">
        <v>66.076677060133633</v>
      </c>
      <c r="D15" s="28">
        <f t="shared" si="0"/>
        <v>66076.677060133632</v>
      </c>
      <c r="E15" s="1" t="s">
        <v>30</v>
      </c>
      <c r="F15" s="29">
        <v>10.019808000000001</v>
      </c>
      <c r="G15" s="30">
        <v>-0.35430400000000084</v>
      </c>
      <c r="H15" s="101">
        <f t="shared" si="1"/>
        <v>-0.49394324854162019</v>
      </c>
      <c r="O15" s="3">
        <v>0.28926968506900003</v>
      </c>
      <c r="P15" s="88">
        <v>66750</v>
      </c>
    </row>
    <row r="16" spans="1:19">
      <c r="A16" s="41" t="s">
        <v>32</v>
      </c>
      <c r="B16" s="41" t="s">
        <v>29</v>
      </c>
      <c r="C16" s="42">
        <v>66.093400000000003</v>
      </c>
      <c r="D16" s="28">
        <f t="shared" si="0"/>
        <v>66093.400000000009</v>
      </c>
      <c r="E16" s="1" t="s">
        <v>30</v>
      </c>
      <c r="F16" s="43">
        <v>11.04</v>
      </c>
      <c r="G16" s="44">
        <v>-0.62</v>
      </c>
      <c r="H16" s="101">
        <f t="shared" si="1"/>
        <v>0.40033135334019204</v>
      </c>
      <c r="I16" s="44"/>
    </row>
    <row r="17" spans="1:9">
      <c r="A17" s="41" t="s">
        <v>32</v>
      </c>
      <c r="B17" s="41" t="s">
        <v>29</v>
      </c>
      <c r="C17" s="42">
        <v>66.093400000000003</v>
      </c>
      <c r="D17" s="28">
        <f t="shared" si="0"/>
        <v>66093.400000000009</v>
      </c>
      <c r="E17" s="1" t="s">
        <v>30</v>
      </c>
      <c r="F17" s="43">
        <v>10.33</v>
      </c>
      <c r="G17" s="44">
        <v>1.28</v>
      </c>
      <c r="H17" s="101">
        <f t="shared" si="1"/>
        <v>-0.22203675710969101</v>
      </c>
      <c r="I17" s="30"/>
    </row>
    <row r="18" spans="1:9">
      <c r="A18" s="1" t="s">
        <v>28</v>
      </c>
      <c r="B18" s="1" t="s">
        <v>29</v>
      </c>
      <c r="C18" s="27">
        <v>66.094218262806237</v>
      </c>
      <c r="D18" s="28">
        <f t="shared" si="0"/>
        <v>66094.218262806244</v>
      </c>
      <c r="E18" s="1" t="s">
        <v>30</v>
      </c>
      <c r="F18" s="29">
        <v>10.507075000000002</v>
      </c>
      <c r="G18" s="30">
        <v>0.13296300000000016</v>
      </c>
      <c r="H18" s="101">
        <f t="shared" si="1"/>
        <v>-6.6817273788684683E-2</v>
      </c>
      <c r="I18" s="44"/>
    </row>
    <row r="19" spans="1:9">
      <c r="A19" s="41" t="s">
        <v>32</v>
      </c>
      <c r="B19" s="41" t="s">
        <v>29</v>
      </c>
      <c r="C19" s="42">
        <v>66.111000000000004</v>
      </c>
      <c r="D19" s="28">
        <f t="shared" si="0"/>
        <v>66111</v>
      </c>
      <c r="E19" s="1" t="s">
        <v>30</v>
      </c>
      <c r="F19" s="43">
        <v>12.51</v>
      </c>
      <c r="G19" s="44">
        <v>0.85</v>
      </c>
      <c r="H19" s="101">
        <f t="shared" si="1"/>
        <v>1.6888963144124873</v>
      </c>
      <c r="I19" s="44"/>
    </row>
    <row r="20" spans="1:9">
      <c r="A20" s="41" t="s">
        <v>32</v>
      </c>
      <c r="B20" s="41" t="s">
        <v>29</v>
      </c>
      <c r="C20" s="42">
        <v>66.111000000000004</v>
      </c>
      <c r="D20" s="28">
        <f t="shared" si="0"/>
        <v>66111</v>
      </c>
      <c r="E20" s="1" t="s">
        <v>30</v>
      </c>
      <c r="F20" s="43">
        <v>10.06</v>
      </c>
      <c r="G20" s="44">
        <v>1.02</v>
      </c>
      <c r="H20" s="101">
        <f t="shared" si="1"/>
        <v>-0.45871195404133663</v>
      </c>
      <c r="I20" s="30"/>
    </row>
    <row r="21" spans="1:9">
      <c r="A21" s="1" t="s">
        <v>28</v>
      </c>
      <c r="B21" s="1" t="s">
        <v>29</v>
      </c>
      <c r="C21" s="27">
        <v>66.126111358574619</v>
      </c>
      <c r="D21" s="28">
        <f t="shared" si="0"/>
        <v>66126.111358574621</v>
      </c>
      <c r="E21" s="1" t="s">
        <v>30</v>
      </c>
      <c r="F21" s="29">
        <v>11.083872000000003</v>
      </c>
      <c r="G21" s="30">
        <v>0.70976000000000106</v>
      </c>
      <c r="H21" s="101">
        <f t="shared" si="1"/>
        <v>0.43878844311717763</v>
      </c>
      <c r="I21" s="44"/>
    </row>
    <row r="22" spans="1:9">
      <c r="A22" s="41" t="s">
        <v>32</v>
      </c>
      <c r="B22" s="41" t="s">
        <v>29</v>
      </c>
      <c r="C22" s="42">
        <v>66.148399999999995</v>
      </c>
      <c r="D22" s="28">
        <f t="shared" si="0"/>
        <v>66148.399999999994</v>
      </c>
      <c r="E22" s="1" t="s">
        <v>30</v>
      </c>
      <c r="F22" s="43">
        <v>12.51</v>
      </c>
      <c r="G22" s="44">
        <v>0.85</v>
      </c>
      <c r="H22" s="101">
        <f t="shared" si="1"/>
        <v>1.6888963144124873</v>
      </c>
      <c r="I22" s="44"/>
    </row>
    <row r="23" spans="1:9">
      <c r="A23" s="41" t="s">
        <v>32</v>
      </c>
      <c r="B23" s="41" t="s">
        <v>29</v>
      </c>
      <c r="C23" s="42">
        <v>66.148399999999995</v>
      </c>
      <c r="D23" s="28">
        <f t="shared" si="0"/>
        <v>66148.399999999994</v>
      </c>
      <c r="E23" s="1" t="s">
        <v>30</v>
      </c>
      <c r="F23" s="43">
        <v>11.31</v>
      </c>
      <c r="G23" s="44">
        <v>2.2599999999999998</v>
      </c>
      <c r="H23" s="101">
        <f t="shared" si="1"/>
        <v>0.63700655027183928</v>
      </c>
      <c r="I23" s="30"/>
    </row>
    <row r="24" spans="1:9">
      <c r="A24" s="1" t="s">
        <v>28</v>
      </c>
      <c r="B24" s="1" t="s">
        <v>29</v>
      </c>
      <c r="C24" s="27">
        <v>66.149233853006692</v>
      </c>
      <c r="D24" s="28">
        <f t="shared" si="0"/>
        <v>66149.233853006692</v>
      </c>
      <c r="E24" s="1" t="s">
        <v>30</v>
      </c>
      <c r="F24" s="29">
        <v>11.973232000000001</v>
      </c>
      <c r="G24" s="30">
        <v>1.5991199999999992</v>
      </c>
      <c r="H24" s="101">
        <f t="shared" si="1"/>
        <v>1.2183790103139489</v>
      </c>
      <c r="I24" s="44"/>
    </row>
    <row r="25" spans="1:9">
      <c r="A25" s="41" t="s">
        <v>32</v>
      </c>
      <c r="B25" s="41" t="s">
        <v>29</v>
      </c>
      <c r="C25" s="42">
        <v>66.162000000000006</v>
      </c>
      <c r="D25" s="28">
        <f t="shared" si="0"/>
        <v>66162</v>
      </c>
      <c r="E25" s="1" t="s">
        <v>30</v>
      </c>
      <c r="F25" s="43">
        <v>11.84</v>
      </c>
      <c r="G25" s="44">
        <v>0.18</v>
      </c>
      <c r="H25" s="101">
        <f t="shared" si="1"/>
        <v>1.1015911961006253</v>
      </c>
      <c r="I25" s="44"/>
    </row>
    <row r="26" spans="1:9">
      <c r="A26" s="41" t="s">
        <v>32</v>
      </c>
      <c r="B26" s="41" t="s">
        <v>29</v>
      </c>
      <c r="C26" s="42">
        <v>66.162000000000006</v>
      </c>
      <c r="D26" s="28">
        <f t="shared" si="0"/>
        <v>66162</v>
      </c>
      <c r="E26" s="1" t="s">
        <v>30</v>
      </c>
      <c r="F26" s="43">
        <v>10.46</v>
      </c>
      <c r="G26" s="44">
        <v>1.42</v>
      </c>
      <c r="H26" s="101">
        <f t="shared" si="1"/>
        <v>-0.10808203266112003</v>
      </c>
      <c r="I26" s="44"/>
    </row>
    <row r="27" spans="1:9">
      <c r="A27" s="41" t="s">
        <v>32</v>
      </c>
      <c r="B27" s="41" t="s">
        <v>29</v>
      </c>
      <c r="C27" s="42">
        <v>66.189099999999996</v>
      </c>
      <c r="D27" s="28">
        <f t="shared" si="0"/>
        <v>66189.099999999991</v>
      </c>
      <c r="E27" s="1" t="s">
        <v>30</v>
      </c>
      <c r="F27" s="43">
        <v>13.67</v>
      </c>
      <c r="G27" s="44">
        <v>2.0099999999999998</v>
      </c>
      <c r="H27" s="101">
        <f t="shared" si="1"/>
        <v>2.7057230864151149</v>
      </c>
      <c r="I27" s="44"/>
    </row>
    <row r="28" spans="1:9">
      <c r="A28" s="41" t="s">
        <v>32</v>
      </c>
      <c r="B28" s="41" t="s">
        <v>29</v>
      </c>
      <c r="C28" s="42">
        <v>66.189099999999996</v>
      </c>
      <c r="D28" s="28">
        <f t="shared" si="0"/>
        <v>66189.099999999991</v>
      </c>
      <c r="E28" s="1" t="s">
        <v>30</v>
      </c>
      <c r="F28" s="43">
        <v>10.6</v>
      </c>
      <c r="G28" s="44">
        <v>1.55</v>
      </c>
      <c r="H28" s="101">
        <f t="shared" si="1"/>
        <v>1.4638439821954603E-2</v>
      </c>
      <c r="I28" s="30"/>
    </row>
    <row r="29" spans="1:9">
      <c r="A29" s="1" t="s">
        <v>28</v>
      </c>
      <c r="B29" s="1" t="s">
        <v>29</v>
      </c>
      <c r="C29" s="27">
        <v>66.189897550111354</v>
      </c>
      <c r="D29" s="28">
        <f t="shared" si="0"/>
        <v>66189.89755011136</v>
      </c>
      <c r="E29" s="1" t="s">
        <v>30</v>
      </c>
      <c r="F29" s="29">
        <v>11.884188000000002</v>
      </c>
      <c r="G29" s="30">
        <v>1.5100759999999998</v>
      </c>
      <c r="H29" s="101">
        <f t="shared" si="1"/>
        <v>1.1403252835154993</v>
      </c>
      <c r="I29" s="30"/>
    </row>
    <row r="30" spans="1:9">
      <c r="A30" s="1" t="s">
        <v>28</v>
      </c>
      <c r="B30" s="1" t="s">
        <v>29</v>
      </c>
      <c r="C30" s="27">
        <v>66.189897550111354</v>
      </c>
      <c r="D30" s="28">
        <f t="shared" si="0"/>
        <v>66189.89755011136</v>
      </c>
      <c r="E30" s="1" t="s">
        <v>30</v>
      </c>
      <c r="F30" s="29">
        <v>11.706172000000002</v>
      </c>
      <c r="G30" s="30">
        <v>1.3320600000000002</v>
      </c>
      <c r="H30" s="101">
        <f t="shared" si="1"/>
        <v>0.98428094330444837</v>
      </c>
      <c r="I30" s="30"/>
    </row>
    <row r="31" spans="1:9">
      <c r="A31" s="1" t="s">
        <v>28</v>
      </c>
      <c r="B31" s="1" t="s">
        <v>29</v>
      </c>
      <c r="C31" s="27">
        <v>66.242521158129179</v>
      </c>
      <c r="D31" s="28">
        <f t="shared" si="0"/>
        <v>66242.521158129181</v>
      </c>
      <c r="E31" s="1" t="s">
        <v>30</v>
      </c>
      <c r="F31" s="29">
        <v>12.017763000000002</v>
      </c>
      <c r="G31" s="30">
        <v>1.6436510000000002</v>
      </c>
      <c r="H31" s="101">
        <f t="shared" si="1"/>
        <v>1.2574137628864057</v>
      </c>
      <c r="I31" s="30"/>
    </row>
    <row r="32" spans="1:9">
      <c r="A32" s="1" t="s">
        <v>28</v>
      </c>
      <c r="B32" s="1" t="s">
        <v>29</v>
      </c>
      <c r="C32" s="27">
        <v>66.253683741648103</v>
      </c>
      <c r="D32" s="28">
        <f t="shared" si="0"/>
        <v>66253.683741648099</v>
      </c>
      <c r="E32" s="1" t="s">
        <v>30</v>
      </c>
      <c r="F32" s="29">
        <v>12.017763000000002</v>
      </c>
      <c r="G32" s="30">
        <v>1.6436510000000002</v>
      </c>
      <c r="H32" s="101">
        <f t="shared" si="1"/>
        <v>1.2574137628864057</v>
      </c>
      <c r="I32" s="30"/>
    </row>
    <row r="33" spans="1:9">
      <c r="A33" s="1" t="s">
        <v>28</v>
      </c>
      <c r="B33" s="1" t="s">
        <v>29</v>
      </c>
      <c r="C33" s="27">
        <v>66.253683741648103</v>
      </c>
      <c r="D33" s="28">
        <f t="shared" si="0"/>
        <v>66253.683741648099</v>
      </c>
      <c r="E33" s="1" t="s">
        <v>30</v>
      </c>
      <c r="F33" s="29">
        <v>12.463403</v>
      </c>
      <c r="G33" s="30">
        <v>2.0892909999999976</v>
      </c>
      <c r="H33" s="101">
        <f t="shared" si="1"/>
        <v>1.6480505582961025</v>
      </c>
      <c r="I33" s="44"/>
    </row>
    <row r="34" spans="1:9">
      <c r="A34" s="41" t="s">
        <v>32</v>
      </c>
      <c r="B34" s="41" t="s">
        <v>29</v>
      </c>
      <c r="C34" s="42">
        <v>66.268799999999999</v>
      </c>
      <c r="D34" s="28">
        <f t="shared" ref="D34:D65" si="2">C34*1000</f>
        <v>66268.800000000003</v>
      </c>
      <c r="E34" s="1" t="s">
        <v>30</v>
      </c>
      <c r="F34" s="43">
        <v>13.18</v>
      </c>
      <c r="G34" s="44">
        <v>1.52</v>
      </c>
      <c r="H34" s="101">
        <f t="shared" si="1"/>
        <v>2.2762014327243496</v>
      </c>
      <c r="I34" s="44"/>
    </row>
    <row r="35" spans="1:9">
      <c r="A35" s="41" t="s">
        <v>32</v>
      </c>
      <c r="B35" s="41" t="s">
        <v>29</v>
      </c>
      <c r="C35" s="42">
        <v>66.268799999999999</v>
      </c>
      <c r="D35" s="28">
        <f t="shared" si="2"/>
        <v>66268.800000000003</v>
      </c>
      <c r="E35" s="1" t="s">
        <v>30</v>
      </c>
      <c r="F35" s="43">
        <v>11.13</v>
      </c>
      <c r="G35" s="44">
        <v>2.08</v>
      </c>
      <c r="H35" s="101">
        <f t="shared" si="1"/>
        <v>0.47922308565074218</v>
      </c>
      <c r="I35" s="30"/>
    </row>
    <row r="36" spans="1:9">
      <c r="A36" s="1" t="s">
        <v>28</v>
      </c>
      <c r="B36" s="1" t="s">
        <v>29</v>
      </c>
      <c r="C36" s="27">
        <v>66.269630289532287</v>
      </c>
      <c r="D36" s="28">
        <f t="shared" si="2"/>
        <v>66269.630289532288</v>
      </c>
      <c r="E36" s="1" t="s">
        <v>30</v>
      </c>
      <c r="F36" s="29">
        <v>11.661683000000004</v>
      </c>
      <c r="G36" s="30">
        <v>1.2875710000000016</v>
      </c>
      <c r="H36" s="101">
        <f t="shared" si="1"/>
        <v>0.94528300687373845</v>
      </c>
      <c r="I36" s="44"/>
    </row>
    <row r="37" spans="1:9">
      <c r="A37" s="41" t="s">
        <v>32</v>
      </c>
      <c r="B37" s="41" t="s">
        <v>29</v>
      </c>
      <c r="C37" s="42">
        <v>66.284800000000004</v>
      </c>
      <c r="D37" s="28">
        <f t="shared" si="2"/>
        <v>66284.800000000003</v>
      </c>
      <c r="E37" s="1" t="s">
        <v>30</v>
      </c>
      <c r="F37" s="43">
        <v>13.76</v>
      </c>
      <c r="G37" s="44">
        <v>2.1</v>
      </c>
      <c r="H37" s="101">
        <f t="shared" si="1"/>
        <v>2.7846148187256632</v>
      </c>
      <c r="I37" s="44"/>
    </row>
    <row r="38" spans="1:9">
      <c r="A38" s="41" t="s">
        <v>32</v>
      </c>
      <c r="B38" s="41" t="s">
        <v>29</v>
      </c>
      <c r="C38" s="42">
        <v>66.284800000000004</v>
      </c>
      <c r="D38" s="28">
        <f t="shared" si="2"/>
        <v>66284.800000000003</v>
      </c>
      <c r="E38" s="1" t="s">
        <v>30</v>
      </c>
      <c r="F38" s="43">
        <v>11.17</v>
      </c>
      <c r="G38" s="44">
        <v>2.13</v>
      </c>
      <c r="H38" s="101">
        <f t="shared" si="1"/>
        <v>0.51428607778876301</v>
      </c>
      <c r="I38" s="30"/>
    </row>
    <row r="39" spans="1:9">
      <c r="A39" s="1" t="s">
        <v>28</v>
      </c>
      <c r="B39" s="1" t="s">
        <v>29</v>
      </c>
      <c r="C39" s="27">
        <v>66.285576837416485</v>
      </c>
      <c r="D39" s="28">
        <f t="shared" si="2"/>
        <v>66285.576837416491</v>
      </c>
      <c r="E39" s="1" t="s">
        <v>30</v>
      </c>
      <c r="F39" s="29">
        <v>11.928707000000003</v>
      </c>
      <c r="G39" s="30">
        <v>1.5545950000000008</v>
      </c>
      <c r="H39" s="101">
        <f t="shared" si="1"/>
        <v>1.179349517190315</v>
      </c>
      <c r="I39" s="44"/>
    </row>
    <row r="40" spans="1:9">
      <c r="A40" s="41" t="s">
        <v>32</v>
      </c>
      <c r="B40" s="41" t="s">
        <v>29</v>
      </c>
      <c r="C40" s="42">
        <v>66.303899999999999</v>
      </c>
      <c r="D40" s="28">
        <f t="shared" si="2"/>
        <v>66303.899999999994</v>
      </c>
      <c r="E40" s="1" t="s">
        <v>30</v>
      </c>
      <c r="F40" s="43">
        <v>12.51</v>
      </c>
      <c r="G40" s="44">
        <v>0.85</v>
      </c>
      <c r="H40" s="101">
        <f t="shared" si="1"/>
        <v>1.6888963144124873</v>
      </c>
      <c r="I40" s="44"/>
    </row>
    <row r="41" spans="1:9">
      <c r="A41" s="41" t="s">
        <v>32</v>
      </c>
      <c r="B41" s="41" t="s">
        <v>29</v>
      </c>
      <c r="C41" s="42">
        <v>66.303899999999999</v>
      </c>
      <c r="D41" s="28">
        <f t="shared" si="2"/>
        <v>66303.899999999994</v>
      </c>
      <c r="E41" s="1" t="s">
        <v>30</v>
      </c>
      <c r="F41" s="43">
        <v>9.5299999999999994</v>
      </c>
      <c r="G41" s="44">
        <v>0.49</v>
      </c>
      <c r="H41" s="101">
        <f t="shared" si="1"/>
        <v>-0.92329659987012414</v>
      </c>
      <c r="I41" s="30"/>
    </row>
    <row r="42" spans="1:9">
      <c r="A42" s="1" t="s">
        <v>28</v>
      </c>
      <c r="B42" s="1" t="s">
        <v>29</v>
      </c>
      <c r="C42" s="27">
        <v>66.325443207126952</v>
      </c>
      <c r="D42" s="28">
        <f t="shared" si="2"/>
        <v>66325.443207126955</v>
      </c>
      <c r="E42" s="1" t="s">
        <v>30</v>
      </c>
      <c r="F42" s="29">
        <v>10.019808000000001</v>
      </c>
      <c r="G42" s="30">
        <v>-0.35430400000000084</v>
      </c>
      <c r="H42" s="101">
        <f t="shared" si="1"/>
        <v>-0.49394324854162019</v>
      </c>
      <c r="I42" s="44"/>
    </row>
    <row r="43" spans="1:9">
      <c r="A43" s="41" t="s">
        <v>32</v>
      </c>
      <c r="B43" s="41" t="s">
        <v>29</v>
      </c>
      <c r="C43" s="42">
        <v>66.336600000000004</v>
      </c>
      <c r="D43" s="28">
        <f t="shared" si="2"/>
        <v>66336.600000000006</v>
      </c>
      <c r="E43" s="1" t="s">
        <v>30</v>
      </c>
      <c r="F43" s="43">
        <v>10.6</v>
      </c>
      <c r="G43" s="44">
        <v>-1.07</v>
      </c>
      <c r="H43" s="101">
        <f t="shared" si="1"/>
        <v>1.4638439821954603E-2</v>
      </c>
      <c r="I43" s="44"/>
    </row>
    <row r="44" spans="1:9">
      <c r="A44" s="41" t="s">
        <v>32</v>
      </c>
      <c r="B44" s="41" t="s">
        <v>29</v>
      </c>
      <c r="C44" s="42">
        <v>66.336600000000004</v>
      </c>
      <c r="D44" s="28">
        <f t="shared" si="2"/>
        <v>66336.600000000006</v>
      </c>
      <c r="E44" s="1" t="s">
        <v>30</v>
      </c>
      <c r="F44" s="43">
        <v>9.89</v>
      </c>
      <c r="G44" s="44">
        <v>0.84</v>
      </c>
      <c r="H44" s="101">
        <f t="shared" si="1"/>
        <v>-0.60772967062792849</v>
      </c>
      <c r="I44" s="44"/>
    </row>
    <row r="45" spans="1:9">
      <c r="A45" s="41" t="s">
        <v>32</v>
      </c>
      <c r="B45" s="41" t="s">
        <v>29</v>
      </c>
      <c r="C45" s="42">
        <v>66.354100000000003</v>
      </c>
      <c r="D45" s="28">
        <f t="shared" si="2"/>
        <v>66354.100000000006</v>
      </c>
      <c r="E45" s="1" t="s">
        <v>30</v>
      </c>
      <c r="F45" s="43">
        <v>11.08</v>
      </c>
      <c r="G45" s="44">
        <v>-0.57999999999999996</v>
      </c>
      <c r="H45" s="101">
        <f t="shared" si="1"/>
        <v>0.43539434547821448</v>
      </c>
      <c r="I45" s="44"/>
    </row>
    <row r="46" spans="1:9">
      <c r="A46" s="41" t="s">
        <v>32</v>
      </c>
      <c r="B46" s="41" t="s">
        <v>29</v>
      </c>
      <c r="C46" s="42">
        <v>66.372500000000002</v>
      </c>
      <c r="D46" s="28">
        <f t="shared" si="2"/>
        <v>66372.5</v>
      </c>
      <c r="E46" s="1" t="s">
        <v>30</v>
      </c>
      <c r="F46" s="43">
        <v>11.44</v>
      </c>
      <c r="G46" s="44">
        <v>-0.22</v>
      </c>
      <c r="H46" s="101">
        <f t="shared" si="1"/>
        <v>0.75096127472040863</v>
      </c>
      <c r="I46" s="44"/>
    </row>
    <row r="47" spans="1:9">
      <c r="A47" s="41" t="s">
        <v>32</v>
      </c>
      <c r="B47" s="41" t="s">
        <v>29</v>
      </c>
      <c r="C47" s="42">
        <v>66.372500000000002</v>
      </c>
      <c r="D47" s="28">
        <f t="shared" si="2"/>
        <v>66372.5</v>
      </c>
      <c r="E47" s="1" t="s">
        <v>30</v>
      </c>
      <c r="F47" s="43">
        <v>9.18</v>
      </c>
      <c r="G47" s="44">
        <v>0.13</v>
      </c>
      <c r="H47" s="101">
        <f t="shared" si="1"/>
        <v>-1.2300977810778131</v>
      </c>
      <c r="I47" s="30"/>
    </row>
    <row r="48" spans="1:9">
      <c r="A48" s="1" t="s">
        <v>28</v>
      </c>
      <c r="B48" s="1" t="s">
        <v>29</v>
      </c>
      <c r="C48" s="27">
        <v>66.373282850779503</v>
      </c>
      <c r="D48" s="28">
        <f t="shared" si="2"/>
        <v>66373.282850779506</v>
      </c>
      <c r="E48" s="1" t="s">
        <v>30</v>
      </c>
      <c r="F48" s="29">
        <v>9.8870430000000038</v>
      </c>
      <c r="G48" s="30">
        <v>-0.4870689999999982</v>
      </c>
      <c r="H48" s="101">
        <f t="shared" si="1"/>
        <v>-0.61032170232172889</v>
      </c>
      <c r="I48" s="44"/>
    </row>
    <row r="49" spans="1:9">
      <c r="A49" s="41" t="s">
        <v>32</v>
      </c>
      <c r="B49" s="41" t="s">
        <v>29</v>
      </c>
      <c r="C49" s="42">
        <v>66.389200000000002</v>
      </c>
      <c r="D49" s="28">
        <f t="shared" si="2"/>
        <v>66389.2</v>
      </c>
      <c r="E49" s="1" t="s">
        <v>30</v>
      </c>
      <c r="F49" s="43">
        <v>11.26</v>
      </c>
      <c r="G49" s="44">
        <v>-0.4</v>
      </c>
      <c r="H49" s="101">
        <f t="shared" si="1"/>
        <v>0.59317781009931159</v>
      </c>
      <c r="I49" s="44"/>
    </row>
    <row r="50" spans="1:9">
      <c r="A50" s="41" t="s">
        <v>32</v>
      </c>
      <c r="B50" s="41" t="s">
        <v>29</v>
      </c>
      <c r="C50" s="42">
        <v>66.389200000000002</v>
      </c>
      <c r="D50" s="28">
        <f t="shared" si="2"/>
        <v>66389.2</v>
      </c>
      <c r="E50" s="1" t="s">
        <v>30</v>
      </c>
      <c r="F50" s="43">
        <v>9.36</v>
      </c>
      <c r="G50" s="44">
        <v>0.31</v>
      </c>
      <c r="H50" s="101">
        <f t="shared" si="1"/>
        <v>-1.0723143164567159</v>
      </c>
      <c r="I50" s="44"/>
    </row>
    <row r="51" spans="1:9">
      <c r="A51" s="41" t="s">
        <v>32</v>
      </c>
      <c r="B51" s="41" t="s">
        <v>29</v>
      </c>
      <c r="C51" s="42">
        <v>66.3994</v>
      </c>
      <c r="D51" s="28">
        <f t="shared" si="2"/>
        <v>66399.399999999994</v>
      </c>
      <c r="E51" s="1" t="s">
        <v>30</v>
      </c>
      <c r="F51" s="43">
        <v>11.08</v>
      </c>
      <c r="G51" s="44">
        <v>-0.57999999999999996</v>
      </c>
      <c r="H51" s="101">
        <f t="shared" si="1"/>
        <v>0.43539434547821448</v>
      </c>
      <c r="I51" s="44"/>
    </row>
    <row r="52" spans="1:9">
      <c r="A52" s="41" t="s">
        <v>32</v>
      </c>
      <c r="B52" s="41" t="s">
        <v>29</v>
      </c>
      <c r="C52" s="42">
        <v>66.3994</v>
      </c>
      <c r="D52" s="28">
        <f t="shared" si="2"/>
        <v>66399.399999999994</v>
      </c>
      <c r="E52" s="1" t="s">
        <v>30</v>
      </c>
      <c r="F52" s="43">
        <v>9.67</v>
      </c>
      <c r="G52" s="44">
        <v>0.62</v>
      </c>
      <c r="H52" s="101">
        <f t="shared" si="1"/>
        <v>-0.80057612738704798</v>
      </c>
      <c r="I52" s="44"/>
    </row>
    <row r="53" spans="1:9">
      <c r="A53" s="41" t="s">
        <v>32</v>
      </c>
      <c r="B53" s="41" t="s">
        <v>29</v>
      </c>
      <c r="C53" s="42">
        <v>66.437600000000003</v>
      </c>
      <c r="D53" s="28">
        <f t="shared" si="2"/>
        <v>66437.600000000006</v>
      </c>
      <c r="E53" s="1" t="s">
        <v>30</v>
      </c>
      <c r="F53" s="43">
        <v>10.11</v>
      </c>
      <c r="G53" s="44">
        <v>-1.55</v>
      </c>
      <c r="H53" s="101">
        <f t="shared" si="1"/>
        <v>-0.4148832138688105</v>
      </c>
      <c r="I53" s="44"/>
    </row>
    <row r="54" spans="1:9">
      <c r="A54" s="41" t="s">
        <v>32</v>
      </c>
      <c r="B54" s="41" t="s">
        <v>29</v>
      </c>
      <c r="C54" s="42">
        <v>66.437600000000003</v>
      </c>
      <c r="D54" s="28">
        <f t="shared" si="2"/>
        <v>66437.600000000006</v>
      </c>
      <c r="E54" s="1" t="s">
        <v>30</v>
      </c>
      <c r="F54" s="43">
        <v>8.7799999999999994</v>
      </c>
      <c r="G54" s="44">
        <v>-0.26</v>
      </c>
      <c r="H54" s="101">
        <f t="shared" si="1"/>
        <v>-1.5807277024580297</v>
      </c>
      <c r="I54" s="44"/>
    </row>
    <row r="55" spans="1:9">
      <c r="A55" s="41" t="s">
        <v>32</v>
      </c>
      <c r="B55" s="41" t="s">
        <v>29</v>
      </c>
      <c r="C55" s="42">
        <v>66.4559</v>
      </c>
      <c r="D55" s="28">
        <f t="shared" si="2"/>
        <v>66455.899999999994</v>
      </c>
      <c r="E55" s="1" t="s">
        <v>30</v>
      </c>
      <c r="F55" s="43">
        <v>9.2200000000000006</v>
      </c>
      <c r="G55" s="44">
        <v>-2.44</v>
      </c>
      <c r="H55" s="101">
        <f t="shared" si="1"/>
        <v>-1.1950347889397908</v>
      </c>
      <c r="I55" s="44"/>
    </row>
    <row r="56" spans="1:9">
      <c r="A56" s="41" t="s">
        <v>32</v>
      </c>
      <c r="B56" s="41" t="s">
        <v>29</v>
      </c>
      <c r="C56" s="42">
        <v>66.4559</v>
      </c>
      <c r="D56" s="28">
        <f t="shared" si="2"/>
        <v>66455.899999999994</v>
      </c>
      <c r="E56" s="1" t="s">
        <v>30</v>
      </c>
      <c r="F56" s="43">
        <v>8.65</v>
      </c>
      <c r="G56" s="44">
        <v>-0.4</v>
      </c>
      <c r="H56" s="101">
        <f t="shared" si="1"/>
        <v>-1.694682426906599</v>
      </c>
      <c r="I56" s="44"/>
    </row>
    <row r="57" spans="1:9">
      <c r="A57" s="41" t="s">
        <v>32</v>
      </c>
      <c r="B57" s="41" t="s">
        <v>29</v>
      </c>
      <c r="C57" s="42">
        <v>66.488399999999999</v>
      </c>
      <c r="D57" s="28">
        <f t="shared" si="2"/>
        <v>66488.399999999994</v>
      </c>
      <c r="E57" s="1" t="s">
        <v>30</v>
      </c>
      <c r="F57" s="43">
        <v>11.31</v>
      </c>
      <c r="G57" s="44">
        <v>-0.36</v>
      </c>
      <c r="H57" s="101">
        <f t="shared" si="1"/>
        <v>0.63700655027183928</v>
      </c>
      <c r="I57" s="44"/>
    </row>
    <row r="58" spans="1:9">
      <c r="A58" s="41" t="s">
        <v>32</v>
      </c>
      <c r="B58" s="41" t="s">
        <v>29</v>
      </c>
      <c r="C58" s="42">
        <v>66.488399999999999</v>
      </c>
      <c r="D58" s="28">
        <f t="shared" si="2"/>
        <v>66488.399999999994</v>
      </c>
      <c r="E58" s="1" t="s">
        <v>30</v>
      </c>
      <c r="F58" s="43">
        <v>11</v>
      </c>
      <c r="G58" s="44">
        <v>-0.67</v>
      </c>
      <c r="H58" s="101">
        <f t="shared" si="1"/>
        <v>0.36526836120217121</v>
      </c>
      <c r="I58" s="44"/>
    </row>
    <row r="59" spans="1:9">
      <c r="A59" s="41" t="s">
        <v>32</v>
      </c>
      <c r="B59" s="41" t="s">
        <v>29</v>
      </c>
      <c r="C59" s="42">
        <v>66.488399999999999</v>
      </c>
      <c r="D59" s="28">
        <f t="shared" si="2"/>
        <v>66488.399999999994</v>
      </c>
      <c r="E59" s="1" t="s">
        <v>30</v>
      </c>
      <c r="F59" s="43">
        <v>11.39</v>
      </c>
      <c r="G59" s="44">
        <v>-0.27</v>
      </c>
      <c r="H59" s="101">
        <f t="shared" si="1"/>
        <v>0.7071325345478825</v>
      </c>
      <c r="I59" s="44"/>
    </row>
    <row r="60" spans="1:9">
      <c r="A60" s="41" t="s">
        <v>32</v>
      </c>
      <c r="B60" s="41" t="s">
        <v>29</v>
      </c>
      <c r="C60" s="42">
        <v>66.488399999999999</v>
      </c>
      <c r="D60" s="28">
        <f t="shared" si="2"/>
        <v>66488.399999999994</v>
      </c>
      <c r="E60" s="1" t="s">
        <v>30</v>
      </c>
      <c r="F60" s="43">
        <v>9.84</v>
      </c>
      <c r="G60" s="44">
        <v>0.8</v>
      </c>
      <c r="H60" s="101">
        <f t="shared" si="1"/>
        <v>-0.65155841080045618</v>
      </c>
      <c r="I60" s="44"/>
    </row>
    <row r="61" spans="1:9">
      <c r="A61" s="41" t="s">
        <v>32</v>
      </c>
      <c r="B61" s="41" t="s">
        <v>29</v>
      </c>
      <c r="C61" s="42">
        <v>66.488399999999999</v>
      </c>
      <c r="D61" s="28">
        <f t="shared" si="2"/>
        <v>66488.399999999994</v>
      </c>
      <c r="E61" s="1" t="s">
        <v>30</v>
      </c>
      <c r="F61" s="43">
        <v>8.8699999999999992</v>
      </c>
      <c r="G61" s="44">
        <v>-0.18</v>
      </c>
      <c r="H61" s="101">
        <f t="shared" si="1"/>
        <v>-1.501835970147481</v>
      </c>
      <c r="I61" s="44"/>
    </row>
    <row r="62" spans="1:9">
      <c r="A62" s="41" t="s">
        <v>32</v>
      </c>
      <c r="B62" s="41" t="s">
        <v>29</v>
      </c>
      <c r="C62" s="42">
        <v>66.488399999999999</v>
      </c>
      <c r="D62" s="28">
        <f t="shared" si="2"/>
        <v>66488.399999999994</v>
      </c>
      <c r="E62" s="1" t="s">
        <v>30</v>
      </c>
      <c r="F62" s="43">
        <v>9.36</v>
      </c>
      <c r="G62" s="44">
        <v>0.31</v>
      </c>
      <c r="H62" s="101">
        <f t="shared" si="1"/>
        <v>-1.0723143164567159</v>
      </c>
      <c r="I62" s="44"/>
    </row>
    <row r="63" spans="1:9">
      <c r="A63" s="41" t="s">
        <v>32</v>
      </c>
      <c r="B63" s="41" t="s">
        <v>29</v>
      </c>
      <c r="C63" s="42">
        <v>66.523799999999994</v>
      </c>
      <c r="D63" s="28">
        <f t="shared" si="2"/>
        <v>66523.799999999988</v>
      </c>
      <c r="E63" s="1" t="s">
        <v>30</v>
      </c>
      <c r="F63" s="43">
        <v>10.33</v>
      </c>
      <c r="G63" s="44">
        <v>-1.33</v>
      </c>
      <c r="H63" s="101">
        <f t="shared" si="1"/>
        <v>-0.22203675710969101</v>
      </c>
      <c r="I63" s="44"/>
    </row>
    <row r="64" spans="1:9">
      <c r="A64" s="41" t="s">
        <v>32</v>
      </c>
      <c r="B64" s="41" t="s">
        <v>29</v>
      </c>
      <c r="C64" s="42">
        <v>66.523799999999994</v>
      </c>
      <c r="D64" s="28">
        <f t="shared" si="2"/>
        <v>66523.799999999988</v>
      </c>
      <c r="E64" s="1" t="s">
        <v>30</v>
      </c>
      <c r="F64" s="43">
        <v>9.84</v>
      </c>
      <c r="G64" s="44">
        <v>0.8</v>
      </c>
      <c r="H64" s="101">
        <f t="shared" si="1"/>
        <v>-0.65155841080045618</v>
      </c>
      <c r="I64" s="44"/>
    </row>
    <row r="65" spans="1:9">
      <c r="A65" s="41" t="s">
        <v>32</v>
      </c>
      <c r="B65" s="41" t="s">
        <v>29</v>
      </c>
      <c r="C65" s="42">
        <v>66.560500000000005</v>
      </c>
      <c r="D65" s="28">
        <f t="shared" si="2"/>
        <v>66560.5</v>
      </c>
      <c r="E65" s="1" t="s">
        <v>30</v>
      </c>
      <c r="F65" s="43">
        <v>11.44</v>
      </c>
      <c r="G65" s="44">
        <v>-0.22</v>
      </c>
      <c r="H65" s="101">
        <f t="shared" si="1"/>
        <v>0.75096127472040863</v>
      </c>
      <c r="I65" s="44"/>
    </row>
    <row r="66" spans="1:9">
      <c r="A66" s="41" t="s">
        <v>32</v>
      </c>
      <c r="B66" s="41" t="s">
        <v>29</v>
      </c>
      <c r="C66" s="42">
        <v>66.560500000000005</v>
      </c>
      <c r="D66" s="28">
        <f t="shared" ref="D66:D84" si="3">C66*1000</f>
        <v>66560.5</v>
      </c>
      <c r="E66" s="1" t="s">
        <v>30</v>
      </c>
      <c r="F66" s="43">
        <v>9.14</v>
      </c>
      <c r="G66" s="44">
        <v>0.09</v>
      </c>
      <c r="H66" s="101">
        <f t="shared" si="1"/>
        <v>-1.2651607732158339</v>
      </c>
      <c r="I66" s="44"/>
    </row>
    <row r="67" spans="1:9">
      <c r="A67" s="41" t="s">
        <v>32</v>
      </c>
      <c r="B67" s="41" t="s">
        <v>29</v>
      </c>
      <c r="C67" s="42">
        <v>66.578900000000004</v>
      </c>
      <c r="D67" s="28">
        <f t="shared" si="3"/>
        <v>66578.900000000009</v>
      </c>
      <c r="E67" s="1" t="s">
        <v>30</v>
      </c>
      <c r="F67" s="43">
        <v>10.91</v>
      </c>
      <c r="G67" s="44">
        <v>-0.76</v>
      </c>
      <c r="H67" s="101">
        <f t="shared" ref="H67:H84" si="4">(F67-10.58330041)/1.140803952</f>
        <v>0.28637662889162263</v>
      </c>
      <c r="I67" s="44"/>
    </row>
    <row r="68" spans="1:9">
      <c r="A68" s="41" t="s">
        <v>32</v>
      </c>
      <c r="B68" s="41" t="s">
        <v>29</v>
      </c>
      <c r="C68" s="42">
        <v>66.578900000000004</v>
      </c>
      <c r="D68" s="28">
        <f t="shared" si="3"/>
        <v>66578.900000000009</v>
      </c>
      <c r="E68" s="1" t="s">
        <v>30</v>
      </c>
      <c r="F68" s="43">
        <v>9.1199999999999992</v>
      </c>
      <c r="G68" s="44">
        <v>7.0000000000000007E-2</v>
      </c>
      <c r="H68" s="101">
        <f t="shared" si="4"/>
        <v>-1.2826922692848459</v>
      </c>
      <c r="I68" s="44"/>
    </row>
    <row r="69" spans="1:9">
      <c r="A69" s="41" t="s">
        <v>32</v>
      </c>
      <c r="B69" s="41" t="s">
        <v>29</v>
      </c>
      <c r="C69" s="42">
        <v>66.612799999999993</v>
      </c>
      <c r="D69" s="28">
        <f t="shared" si="3"/>
        <v>66612.799999999988</v>
      </c>
      <c r="E69" s="1" t="s">
        <v>30</v>
      </c>
      <c r="F69" s="43">
        <v>11.22</v>
      </c>
      <c r="G69" s="44">
        <v>-0.44</v>
      </c>
      <c r="H69" s="101">
        <f t="shared" si="4"/>
        <v>0.5581148179612907</v>
      </c>
      <c r="I69" s="44"/>
    </row>
    <row r="70" spans="1:9">
      <c r="A70" s="41" t="s">
        <v>32</v>
      </c>
      <c r="B70" s="41" t="s">
        <v>29</v>
      </c>
      <c r="C70" s="42">
        <v>66.612799999999993</v>
      </c>
      <c r="D70" s="28">
        <f t="shared" si="3"/>
        <v>66612.799999999988</v>
      </c>
      <c r="E70" s="1" t="s">
        <v>30</v>
      </c>
      <c r="F70" s="43">
        <v>8.74</v>
      </c>
      <c r="G70" s="44">
        <v>-0.31</v>
      </c>
      <c r="H70" s="101">
        <f t="shared" si="4"/>
        <v>-1.6157906945960505</v>
      </c>
      <c r="I70" s="44"/>
    </row>
    <row r="71" spans="1:9">
      <c r="A71" s="41" t="s">
        <v>32</v>
      </c>
      <c r="B71" s="41" t="s">
        <v>29</v>
      </c>
      <c r="C71" s="42">
        <v>66.659400000000005</v>
      </c>
      <c r="D71" s="28">
        <f t="shared" si="3"/>
        <v>66659.400000000009</v>
      </c>
      <c r="E71" s="1" t="s">
        <v>30</v>
      </c>
      <c r="F71" s="43">
        <v>10.55</v>
      </c>
      <c r="G71" s="44">
        <v>-1.1100000000000001</v>
      </c>
      <c r="H71" s="101">
        <f t="shared" si="4"/>
        <v>-2.9190300350571498E-2</v>
      </c>
      <c r="I71" s="44"/>
    </row>
    <row r="72" spans="1:9">
      <c r="A72" s="41" t="s">
        <v>32</v>
      </c>
      <c r="B72" s="41" t="s">
        <v>29</v>
      </c>
      <c r="C72" s="42">
        <v>66.659400000000005</v>
      </c>
      <c r="D72" s="28">
        <f t="shared" si="3"/>
        <v>66659.400000000009</v>
      </c>
      <c r="E72" s="1" t="s">
        <v>30</v>
      </c>
      <c r="F72" s="43">
        <v>9.18</v>
      </c>
      <c r="G72" s="44">
        <v>0.13</v>
      </c>
      <c r="H72" s="101">
        <f t="shared" si="4"/>
        <v>-1.2300977810778131</v>
      </c>
      <c r="I72" s="30"/>
    </row>
    <row r="73" spans="1:9">
      <c r="A73" s="1" t="s">
        <v>28</v>
      </c>
      <c r="B73" s="1" t="s">
        <v>29</v>
      </c>
      <c r="C73" s="27">
        <v>66.698994490000004</v>
      </c>
      <c r="D73" s="28">
        <f t="shared" si="3"/>
        <v>66698.994489999997</v>
      </c>
      <c r="E73" s="1" t="s">
        <v>30</v>
      </c>
      <c r="F73" s="29">
        <v>10.108348000000003</v>
      </c>
      <c r="G73" s="30">
        <v>-0.265763999999999</v>
      </c>
      <c r="H73" s="101">
        <f t="shared" si="4"/>
        <v>-0.41633131544410767</v>
      </c>
      <c r="I73" s="44"/>
    </row>
    <row r="74" spans="1:9">
      <c r="A74" s="41" t="s">
        <v>32</v>
      </c>
      <c r="B74" s="41" t="s">
        <v>29</v>
      </c>
      <c r="C74" s="42">
        <v>66.748500000000007</v>
      </c>
      <c r="D74" s="28">
        <f t="shared" si="3"/>
        <v>66748.5</v>
      </c>
      <c r="E74" s="1" t="s">
        <v>30</v>
      </c>
      <c r="F74" s="43">
        <v>10.37</v>
      </c>
      <c r="G74" s="44">
        <v>-1.29</v>
      </c>
      <c r="H74" s="101">
        <f t="shared" si="4"/>
        <v>-0.18697376497167012</v>
      </c>
      <c r="I74" s="44"/>
    </row>
    <row r="75" spans="1:9">
      <c r="A75" s="41" t="s">
        <v>32</v>
      </c>
      <c r="B75" s="41" t="s">
        <v>29</v>
      </c>
      <c r="C75" s="42">
        <v>66.748500000000007</v>
      </c>
      <c r="D75" s="28">
        <f t="shared" si="3"/>
        <v>66748.5</v>
      </c>
      <c r="E75" s="1" t="s">
        <v>30</v>
      </c>
      <c r="F75" s="43">
        <v>9.7100000000000009</v>
      </c>
      <c r="G75" s="44">
        <v>0.66</v>
      </c>
      <c r="H75" s="101">
        <f t="shared" si="4"/>
        <v>-0.76551313524902553</v>
      </c>
      <c r="I75" s="30"/>
    </row>
    <row r="76" spans="1:9">
      <c r="A76" s="1" t="s">
        <v>28</v>
      </c>
      <c r="B76" s="1" t="s">
        <v>29</v>
      </c>
      <c r="C76" s="27">
        <v>66.804978469999995</v>
      </c>
      <c r="D76" s="28">
        <f t="shared" si="3"/>
        <v>66804.978470000002</v>
      </c>
      <c r="E76" s="1" t="s">
        <v>30</v>
      </c>
      <c r="F76" s="29">
        <v>9.8870430000000038</v>
      </c>
      <c r="G76" s="30">
        <v>-0.4870689999999982</v>
      </c>
      <c r="H76" s="101">
        <f t="shared" si="4"/>
        <v>-0.61032170232172889</v>
      </c>
      <c r="I76" s="30"/>
    </row>
    <row r="77" spans="1:9">
      <c r="A77" s="1" t="s">
        <v>28</v>
      </c>
      <c r="B77" s="1" t="s">
        <v>29</v>
      </c>
      <c r="C77" s="27">
        <v>66.910962440000006</v>
      </c>
      <c r="D77" s="28">
        <f t="shared" si="3"/>
        <v>66910.962440000003</v>
      </c>
      <c r="E77" s="1" t="s">
        <v>30</v>
      </c>
      <c r="F77" s="29">
        <v>10.152627000000001</v>
      </c>
      <c r="G77" s="30">
        <v>-0.22148500000000126</v>
      </c>
      <c r="H77" s="101">
        <f t="shared" si="4"/>
        <v>-0.37751745972212319</v>
      </c>
      <c r="I77" s="30"/>
    </row>
    <row r="78" spans="1:9">
      <c r="A78" s="1" t="s">
        <v>28</v>
      </c>
      <c r="B78" s="1" t="s">
        <v>29</v>
      </c>
      <c r="C78" s="27">
        <v>67.121517280000006</v>
      </c>
      <c r="D78" s="28">
        <f t="shared" si="3"/>
        <v>67121.51728</v>
      </c>
      <c r="E78" s="1" t="s">
        <v>30</v>
      </c>
      <c r="F78" s="29">
        <v>9.4448830000000008</v>
      </c>
      <c r="G78" s="30">
        <v>-0.92922900000000119</v>
      </c>
      <c r="H78" s="101">
        <f t="shared" si="4"/>
        <v>-0.99790801741542257</v>
      </c>
      <c r="I78" s="30"/>
    </row>
    <row r="79" spans="1:9">
      <c r="A79" s="1" t="s">
        <v>28</v>
      </c>
      <c r="B79" s="1" t="s">
        <v>29</v>
      </c>
      <c r="C79" s="27">
        <v>67.206304459999998</v>
      </c>
      <c r="D79" s="28">
        <f t="shared" si="3"/>
        <v>67206.304459999999</v>
      </c>
      <c r="E79" s="1" t="s">
        <v>30</v>
      </c>
      <c r="F79" s="29">
        <v>9.3123520000000006</v>
      </c>
      <c r="G79" s="30">
        <v>-1.0617600000000014</v>
      </c>
      <c r="H79" s="101">
        <f t="shared" si="4"/>
        <v>-1.1140813526915263</v>
      </c>
      <c r="I79" s="30"/>
    </row>
    <row r="80" spans="1:9">
      <c r="A80" s="1" t="s">
        <v>28</v>
      </c>
      <c r="B80" s="1" t="s">
        <v>29</v>
      </c>
      <c r="C80" s="27">
        <v>67.743289930000003</v>
      </c>
      <c r="D80" s="28">
        <f t="shared" si="3"/>
        <v>67743.289929999999</v>
      </c>
      <c r="E80" s="1" t="s">
        <v>30</v>
      </c>
      <c r="F80" s="29">
        <v>10.462748000000001</v>
      </c>
      <c r="G80" s="30">
        <v>8.8635999999999271E-2</v>
      </c>
      <c r="H80" s="101">
        <f t="shared" si="4"/>
        <v>-0.10567320510123758</v>
      </c>
      <c r="I80" s="30"/>
    </row>
    <row r="81" spans="1:9">
      <c r="A81" s="1" t="s">
        <v>28</v>
      </c>
      <c r="B81" s="1" t="s">
        <v>29</v>
      </c>
      <c r="C81" s="27">
        <v>67.743289930000003</v>
      </c>
      <c r="D81" s="28">
        <f t="shared" si="3"/>
        <v>67743.289929999999</v>
      </c>
      <c r="E81" s="1" t="s">
        <v>30</v>
      </c>
      <c r="F81" s="29">
        <v>9.3123520000000006</v>
      </c>
      <c r="G81" s="30">
        <v>-1.0617600000000014</v>
      </c>
      <c r="H81" s="101">
        <f t="shared" si="4"/>
        <v>-1.1140813526915263</v>
      </c>
      <c r="I81" s="30"/>
    </row>
    <row r="82" spans="1:9">
      <c r="A82" s="1" t="s">
        <v>28</v>
      </c>
      <c r="B82" s="1" t="s">
        <v>29</v>
      </c>
      <c r="C82" s="27">
        <v>67.914277420000005</v>
      </c>
      <c r="D82" s="28">
        <f t="shared" si="3"/>
        <v>67914.277419999999</v>
      </c>
      <c r="E82" s="1" t="s">
        <v>30</v>
      </c>
      <c r="F82" s="29">
        <v>9.5332670000000022</v>
      </c>
      <c r="G82" s="30">
        <v>-0.84084499999999984</v>
      </c>
      <c r="H82" s="101">
        <f t="shared" si="4"/>
        <v>-0.92043282998724885</v>
      </c>
      <c r="I82" s="30"/>
    </row>
    <row r="83" spans="1:9">
      <c r="A83" s="1" t="s">
        <v>28</v>
      </c>
      <c r="B83" s="1" t="s">
        <v>29</v>
      </c>
      <c r="C83" s="27">
        <v>68.196901350000005</v>
      </c>
      <c r="D83" s="28">
        <f t="shared" si="3"/>
        <v>68196.90135</v>
      </c>
      <c r="E83" s="1" t="s">
        <v>30</v>
      </c>
      <c r="F83" s="29">
        <v>10.108348000000003</v>
      </c>
      <c r="G83" s="30">
        <v>-0.265763999999999</v>
      </c>
      <c r="H83" s="101">
        <f t="shared" si="4"/>
        <v>-0.41633131544410767</v>
      </c>
      <c r="I83" s="30"/>
    </row>
    <row r="84" spans="1:9">
      <c r="A84" s="1" t="s">
        <v>28</v>
      </c>
      <c r="B84" s="1" t="s">
        <v>29</v>
      </c>
      <c r="C84" s="27">
        <v>68.421587380000005</v>
      </c>
      <c r="D84" s="28">
        <f t="shared" si="3"/>
        <v>68421.587380000012</v>
      </c>
      <c r="E84" s="1" t="s">
        <v>30</v>
      </c>
      <c r="F84" s="29">
        <v>10.064075000000003</v>
      </c>
      <c r="G84" s="30">
        <v>-0.31003699999999945</v>
      </c>
      <c r="H84" s="101">
        <f t="shared" si="4"/>
        <v>-0.45513991171727386</v>
      </c>
      <c r="I84" s="30"/>
    </row>
    <row r="85" spans="1:9">
      <c r="A85" s="1"/>
      <c r="B85" s="1"/>
      <c r="C85" s="32"/>
      <c r="D85" s="33"/>
      <c r="F85" s="1">
        <f>AVERAGE(F2:F84)</f>
        <v>10.583300409638555</v>
      </c>
      <c r="G85" s="30"/>
      <c r="I85" s="30"/>
    </row>
    <row r="86" spans="1:9">
      <c r="A86" s="1"/>
      <c r="B86" s="1"/>
      <c r="C86" s="32"/>
      <c r="D86" s="33"/>
      <c r="F86" s="1">
        <f>STDEV(F2:F84)</f>
        <v>1.1408039522743967</v>
      </c>
      <c r="G86" s="30"/>
      <c r="I86" s="30"/>
    </row>
    <row r="87" spans="1:9">
      <c r="A87" s="1"/>
      <c r="B87" s="1"/>
      <c r="C87" s="32"/>
      <c r="D87" s="33"/>
      <c r="F87" s="30"/>
      <c r="G87" s="30"/>
      <c r="I87" s="30"/>
    </row>
    <row r="88" spans="1:9">
      <c r="A88" s="1"/>
      <c r="B88" s="1"/>
      <c r="C88" s="32"/>
      <c r="D88" s="33"/>
      <c r="F88" s="30"/>
      <c r="G88" s="30"/>
      <c r="I88" s="30"/>
    </row>
    <row r="89" spans="1:9">
      <c r="A89" s="1"/>
      <c r="B89" s="1"/>
      <c r="C89" s="32"/>
      <c r="D89" s="33"/>
      <c r="F89" s="30"/>
      <c r="G89" s="30"/>
      <c r="I89" s="30"/>
    </row>
    <row r="90" spans="1:9">
      <c r="A90" s="1"/>
      <c r="B90" s="1"/>
      <c r="C90" s="32"/>
      <c r="D90" s="33"/>
      <c r="F90" s="30"/>
      <c r="G90" s="30"/>
      <c r="I90" s="30"/>
    </row>
    <row r="91" spans="1:9">
      <c r="A91" s="1"/>
      <c r="B91" s="1"/>
      <c r="C91" s="32"/>
      <c r="D91" s="33"/>
      <c r="F91" s="30"/>
      <c r="G91" s="30"/>
      <c r="I91" s="30"/>
    </row>
    <row r="92" spans="1:9">
      <c r="A92" s="1"/>
      <c r="B92" s="1"/>
      <c r="C92" s="32"/>
      <c r="D92" s="33"/>
      <c r="F92" s="30"/>
      <c r="G92" s="30"/>
      <c r="I92" s="30"/>
    </row>
    <row r="93" spans="1:9">
      <c r="A93" s="1"/>
      <c r="B93" s="1"/>
      <c r="C93" s="32"/>
      <c r="D93" s="33"/>
      <c r="F93" s="30"/>
      <c r="G93" s="30"/>
      <c r="I93" s="30"/>
    </row>
    <row r="94" spans="1:9">
      <c r="A94" s="1"/>
      <c r="B94" s="1"/>
      <c r="C94" s="32"/>
      <c r="D94" s="33"/>
      <c r="F94" s="30"/>
      <c r="G94" s="30"/>
      <c r="I94" s="30"/>
    </row>
    <row r="95" spans="1:9">
      <c r="A95" s="1"/>
      <c r="B95" s="1"/>
      <c r="C95" s="32"/>
      <c r="D95" s="33"/>
      <c r="F95" s="30"/>
      <c r="G95" s="30"/>
      <c r="I95" s="30"/>
    </row>
    <row r="96" spans="1:9">
      <c r="A96" s="1"/>
      <c r="B96" s="1"/>
      <c r="C96" s="32"/>
      <c r="D96" s="33"/>
      <c r="F96" s="30"/>
      <c r="G96" s="30"/>
      <c r="I96" s="30"/>
    </row>
    <row r="97" spans="1:9">
      <c r="A97" s="1"/>
      <c r="B97" s="1"/>
      <c r="C97" s="32"/>
      <c r="D97" s="33"/>
      <c r="F97" s="30"/>
      <c r="G97" s="30"/>
      <c r="I97" s="30"/>
    </row>
    <row r="98" spans="1:9">
      <c r="A98" s="1"/>
      <c r="B98" s="1"/>
      <c r="C98" s="32"/>
      <c r="D98" s="33"/>
      <c r="F98" s="30"/>
      <c r="G98" s="30"/>
      <c r="I98" s="30"/>
    </row>
    <row r="99" spans="1:9">
      <c r="A99" s="1"/>
      <c r="B99" s="1"/>
      <c r="C99" s="32"/>
      <c r="D99" s="33"/>
      <c r="F99" s="30"/>
      <c r="G99" s="30"/>
      <c r="I99" s="30"/>
    </row>
    <row r="100" spans="1:9">
      <c r="A100" s="1"/>
      <c r="B100" s="1"/>
      <c r="C100" s="32"/>
      <c r="D100" s="33"/>
      <c r="F100" s="30"/>
      <c r="G100" s="30"/>
      <c r="I100" s="30"/>
    </row>
    <row r="101" spans="1:9">
      <c r="A101" s="1"/>
      <c r="B101" s="1"/>
      <c r="C101" s="32"/>
      <c r="D101" s="33"/>
      <c r="F101" s="30"/>
      <c r="G101" s="30"/>
      <c r="I101" s="30"/>
    </row>
    <row r="102" spans="1:9">
      <c r="A102" s="1"/>
      <c r="B102" s="1"/>
      <c r="C102" s="32"/>
      <c r="D102" s="33"/>
      <c r="F102" s="30"/>
      <c r="G102" s="30"/>
      <c r="I102" s="30"/>
    </row>
    <row r="103" spans="1:9">
      <c r="A103" s="1"/>
      <c r="B103" s="1"/>
      <c r="C103" s="32"/>
      <c r="D103" s="33"/>
      <c r="F103" s="30"/>
      <c r="G103" s="30"/>
      <c r="I103" s="30"/>
    </row>
    <row r="104" spans="1:9">
      <c r="A104" s="1"/>
      <c r="B104" s="1"/>
      <c r="C104" s="32"/>
      <c r="D104" s="33"/>
      <c r="F104" s="30"/>
      <c r="G104" s="30"/>
      <c r="I104" s="30"/>
    </row>
    <row r="105" spans="1:9">
      <c r="A105" s="1"/>
      <c r="B105" s="1"/>
      <c r="C105" s="32"/>
      <c r="D105" s="33"/>
      <c r="F105" s="30"/>
      <c r="G105" s="30"/>
      <c r="I105" s="30"/>
    </row>
    <row r="106" spans="1:9">
      <c r="A106" s="1"/>
      <c r="B106" s="1"/>
      <c r="C106" s="32"/>
      <c r="D106" s="33"/>
      <c r="F106" s="30"/>
      <c r="G106" s="30"/>
      <c r="I106" s="30"/>
    </row>
    <row r="107" spans="1:9">
      <c r="A107" s="1"/>
      <c r="B107" s="1"/>
      <c r="C107" s="32"/>
      <c r="D107" s="33"/>
      <c r="F107" s="30"/>
      <c r="G107" s="30"/>
      <c r="I107" s="30"/>
    </row>
    <row r="108" spans="1:9">
      <c r="A108" s="1"/>
      <c r="B108" s="1"/>
      <c r="C108" s="32"/>
      <c r="D108" s="33"/>
      <c r="F108" s="30"/>
      <c r="G108" s="30"/>
      <c r="I108" s="30"/>
    </row>
    <row r="109" spans="1:9">
      <c r="A109" s="1"/>
      <c r="B109" s="1"/>
      <c r="C109" s="32"/>
      <c r="D109" s="33"/>
      <c r="F109" s="30"/>
      <c r="G109" s="30"/>
      <c r="I109" s="30"/>
    </row>
    <row r="110" spans="1:9">
      <c r="A110" s="1"/>
      <c r="B110" s="1"/>
      <c r="C110" s="32"/>
      <c r="D110" s="33"/>
      <c r="F110" s="30"/>
      <c r="G110" s="30"/>
      <c r="I110" s="30"/>
    </row>
    <row r="111" spans="1:9">
      <c r="A111" s="1"/>
      <c r="B111" s="1"/>
      <c r="C111" s="32"/>
      <c r="D111" s="33"/>
      <c r="F111" s="30"/>
      <c r="G111" s="30"/>
      <c r="I111" s="30"/>
    </row>
    <row r="112" spans="1:9">
      <c r="A112" s="1"/>
      <c r="B112" s="1"/>
      <c r="C112" s="32"/>
      <c r="D112" s="33"/>
      <c r="F112" s="30"/>
      <c r="G112" s="30"/>
      <c r="I112" s="30"/>
    </row>
    <row r="113" spans="1:9">
      <c r="A113" s="1"/>
      <c r="B113" s="1"/>
      <c r="C113" s="32"/>
      <c r="D113" s="33"/>
      <c r="F113" s="30"/>
      <c r="G113" s="30"/>
      <c r="I113" s="30"/>
    </row>
    <row r="114" spans="1:9">
      <c r="A114" s="1"/>
      <c r="B114" s="1"/>
      <c r="C114" s="32"/>
      <c r="D114" s="33"/>
      <c r="F114" s="30"/>
      <c r="G114" s="30"/>
      <c r="I114" s="30"/>
    </row>
    <row r="115" spans="1:9">
      <c r="A115" s="1"/>
      <c r="B115" s="1"/>
      <c r="C115" s="32"/>
      <c r="D115" s="33"/>
      <c r="F115" s="30"/>
      <c r="G115" s="30"/>
      <c r="I115" s="30"/>
    </row>
    <row r="116" spans="1:9">
      <c r="A116" s="1"/>
      <c r="B116" s="1"/>
      <c r="C116" s="32"/>
      <c r="D116" s="33"/>
      <c r="F116" s="30"/>
      <c r="G116" s="30"/>
      <c r="I116" s="30"/>
    </row>
    <row r="117" spans="1:9">
      <c r="A117" s="1"/>
      <c r="B117" s="1"/>
      <c r="C117" s="32"/>
      <c r="D117" s="33"/>
      <c r="F117" s="30"/>
      <c r="G117" s="30"/>
      <c r="I117" s="30"/>
    </row>
    <row r="118" spans="1:9">
      <c r="A118" s="1"/>
      <c r="B118" s="1"/>
      <c r="C118" s="32"/>
      <c r="D118" s="33"/>
      <c r="F118" s="30"/>
      <c r="G118" s="30"/>
      <c r="I118" s="30"/>
    </row>
    <row r="119" spans="1:9">
      <c r="A119" s="1"/>
      <c r="B119" s="1"/>
      <c r="C119" s="32"/>
      <c r="D119" s="33"/>
      <c r="F119" s="30"/>
      <c r="G119" s="30"/>
      <c r="I119" s="30"/>
    </row>
    <row r="120" spans="1:9">
      <c r="A120" s="1"/>
      <c r="B120" s="1"/>
      <c r="C120" s="32"/>
      <c r="D120" s="33"/>
      <c r="F120" s="30"/>
      <c r="G120" s="30"/>
      <c r="I120" s="30"/>
    </row>
    <row r="121" spans="1:9">
      <c r="A121" s="1"/>
      <c r="B121" s="1"/>
      <c r="C121" s="32"/>
      <c r="D121" s="33"/>
      <c r="F121" s="30"/>
      <c r="G121" s="30"/>
      <c r="I121" s="30"/>
    </row>
    <row r="122" spans="1:9">
      <c r="A122" s="1"/>
      <c r="B122" s="1"/>
      <c r="C122" s="32"/>
      <c r="D122" s="33"/>
      <c r="F122" s="30"/>
      <c r="G122" s="30"/>
      <c r="I122" s="30"/>
    </row>
    <row r="123" spans="1:9">
      <c r="A123" s="1"/>
      <c r="B123" s="1"/>
      <c r="C123" s="32"/>
      <c r="D123" s="33"/>
      <c r="F123" s="30"/>
      <c r="G123" s="30"/>
      <c r="I123" s="30"/>
    </row>
    <row r="124" spans="1:9">
      <c r="A124" s="1"/>
      <c r="B124" s="1"/>
      <c r="C124" s="32"/>
      <c r="D124" s="33"/>
      <c r="F124" s="30"/>
      <c r="G124" s="30"/>
      <c r="I124" s="30"/>
    </row>
    <row r="125" spans="1:9">
      <c r="A125" s="1"/>
      <c r="B125" s="1"/>
      <c r="C125" s="32"/>
      <c r="D125" s="33"/>
      <c r="F125" s="30"/>
      <c r="G125" s="30"/>
      <c r="I125" s="30"/>
    </row>
    <row r="126" spans="1:9">
      <c r="A126" s="1"/>
      <c r="B126" s="1"/>
      <c r="C126" s="32"/>
      <c r="D126" s="33"/>
      <c r="F126" s="30"/>
      <c r="G126" s="30"/>
      <c r="I126" s="30"/>
    </row>
    <row r="127" spans="1:9">
      <c r="A127" s="1"/>
      <c r="B127" s="1"/>
      <c r="C127" s="32"/>
      <c r="D127" s="33"/>
      <c r="F127" s="30"/>
      <c r="G127" s="30"/>
      <c r="I127" s="30"/>
    </row>
    <row r="128" spans="1:9">
      <c r="A128" s="1"/>
      <c r="B128" s="1"/>
      <c r="C128" s="32"/>
      <c r="D128" s="33"/>
      <c r="F128" s="30"/>
      <c r="G128" s="30"/>
      <c r="I128" s="30"/>
    </row>
    <row r="129" spans="1:9">
      <c r="A129" s="1"/>
      <c r="B129" s="1"/>
      <c r="C129" s="32"/>
      <c r="D129" s="33"/>
      <c r="F129" s="30"/>
      <c r="G129" s="30"/>
      <c r="I129" s="30"/>
    </row>
    <row r="130" spans="1:9">
      <c r="A130" s="1"/>
      <c r="B130" s="1"/>
      <c r="C130" s="32"/>
      <c r="D130" s="33"/>
      <c r="F130" s="30"/>
      <c r="G130" s="30"/>
      <c r="I130" s="30"/>
    </row>
    <row r="131" spans="1:9">
      <c r="A131" s="1"/>
      <c r="B131" s="1"/>
      <c r="C131" s="32"/>
      <c r="D131" s="33"/>
      <c r="F131" s="30"/>
      <c r="G131" s="30"/>
      <c r="I131" s="30"/>
    </row>
    <row r="132" spans="1:9">
      <c r="A132" s="1"/>
      <c r="B132" s="1"/>
      <c r="C132" s="32"/>
      <c r="D132" s="33"/>
      <c r="F132" s="30"/>
      <c r="G132" s="30"/>
      <c r="I132" s="30"/>
    </row>
    <row r="133" spans="1:9">
      <c r="A133" s="1"/>
      <c r="B133" s="1"/>
      <c r="C133" s="32"/>
      <c r="D133" s="33"/>
      <c r="F133" s="30"/>
      <c r="G133" s="30"/>
      <c r="I133" s="30"/>
    </row>
    <row r="134" spans="1:9">
      <c r="A134" s="1"/>
      <c r="B134" s="1"/>
      <c r="C134" s="32"/>
      <c r="D134" s="33"/>
      <c r="F134" s="30"/>
      <c r="G134" s="30"/>
      <c r="I134" s="30"/>
    </row>
    <row r="135" spans="1:9">
      <c r="A135" s="1"/>
      <c r="B135" s="1"/>
      <c r="C135" s="32"/>
      <c r="D135" s="33"/>
      <c r="F135" s="30"/>
      <c r="G135" s="30"/>
      <c r="I135" s="30"/>
    </row>
    <row r="136" spans="1:9">
      <c r="A136" s="1"/>
      <c r="B136" s="1"/>
      <c r="C136" s="32"/>
      <c r="D136" s="33"/>
      <c r="F136" s="30"/>
      <c r="G136" s="30"/>
      <c r="I136" s="30"/>
    </row>
    <row r="137" spans="1:9">
      <c r="A137" s="1"/>
      <c r="B137" s="1"/>
      <c r="C137" s="32"/>
      <c r="D137" s="33"/>
      <c r="F137" s="30"/>
      <c r="G137" s="30"/>
      <c r="I137" s="30"/>
    </row>
    <row r="138" spans="1:9">
      <c r="A138" s="1"/>
      <c r="B138" s="1"/>
      <c r="C138" s="32"/>
      <c r="D138" s="33"/>
      <c r="F138" s="30"/>
      <c r="G138" s="30"/>
      <c r="I138" s="30"/>
    </row>
    <row r="139" spans="1:9">
      <c r="A139" s="1"/>
      <c r="B139" s="1"/>
      <c r="C139" s="32"/>
      <c r="D139" s="33"/>
      <c r="F139" s="30"/>
      <c r="G139" s="30"/>
      <c r="I139" s="30"/>
    </row>
    <row r="140" spans="1:9">
      <c r="A140" s="1"/>
      <c r="B140" s="1"/>
      <c r="C140" s="32"/>
      <c r="D140" s="33"/>
      <c r="F140" s="30"/>
      <c r="G140" s="30"/>
      <c r="I140" s="30"/>
    </row>
    <row r="141" spans="1:9">
      <c r="A141" s="1"/>
      <c r="B141" s="1"/>
      <c r="C141" s="32"/>
      <c r="D141" s="33"/>
      <c r="F141" s="30"/>
      <c r="G141" s="30"/>
      <c r="I141" s="30"/>
    </row>
    <row r="142" spans="1:9">
      <c r="A142" s="1"/>
      <c r="B142" s="1"/>
      <c r="C142" s="32"/>
      <c r="D142" s="33"/>
      <c r="F142" s="30"/>
      <c r="G142" s="30"/>
      <c r="I142" s="30"/>
    </row>
    <row r="143" spans="1:9">
      <c r="A143" s="1"/>
      <c r="B143" s="1"/>
      <c r="C143" s="32"/>
      <c r="D143" s="33"/>
      <c r="F143" s="30"/>
      <c r="G143" s="30"/>
      <c r="I143" s="30"/>
    </row>
    <row r="144" spans="1:9">
      <c r="A144" s="1"/>
      <c r="B144" s="1"/>
      <c r="C144" s="32"/>
      <c r="D144" s="33"/>
      <c r="F144" s="30"/>
      <c r="G144" s="30"/>
      <c r="I144" s="30"/>
    </row>
    <row r="145" spans="1:9">
      <c r="A145" s="1"/>
      <c r="B145" s="1"/>
      <c r="C145" s="32"/>
      <c r="D145" s="33"/>
      <c r="F145" s="30"/>
      <c r="G145" s="30"/>
      <c r="I145" s="30"/>
    </row>
    <row r="146" spans="1:9">
      <c r="A146" s="1"/>
      <c r="B146" s="1"/>
      <c r="C146" s="32"/>
      <c r="D146" s="33"/>
      <c r="F146" s="30"/>
      <c r="G146" s="30"/>
      <c r="I146" s="30"/>
    </row>
    <row r="147" spans="1:9">
      <c r="A147" s="1"/>
      <c r="B147" s="1"/>
      <c r="C147" s="32"/>
      <c r="D147" s="33"/>
      <c r="F147" s="30"/>
      <c r="G147" s="30"/>
      <c r="I147" s="30"/>
    </row>
    <row r="148" spans="1:9">
      <c r="A148" s="1"/>
      <c r="B148" s="1"/>
      <c r="C148" s="32"/>
      <c r="D148" s="33"/>
      <c r="F148" s="30"/>
      <c r="G148" s="30"/>
      <c r="I148" s="30"/>
    </row>
    <row r="149" spans="1:9">
      <c r="A149" s="1"/>
      <c r="B149" s="1"/>
      <c r="C149" s="27"/>
      <c r="D149" s="31"/>
      <c r="F149" s="30"/>
      <c r="G149" s="30"/>
      <c r="I149" s="30"/>
    </row>
    <row r="150" spans="1:9">
      <c r="A150" s="1"/>
      <c r="B150" s="1"/>
      <c r="C150" s="27"/>
      <c r="D150" s="31"/>
      <c r="F150" s="30"/>
      <c r="G150" s="30"/>
      <c r="I150" s="30"/>
    </row>
    <row r="151" spans="1:9">
      <c r="A151" s="1"/>
      <c r="B151" s="1"/>
      <c r="C151" s="27"/>
      <c r="D151" s="31"/>
      <c r="F151" s="30"/>
      <c r="G151" s="30"/>
      <c r="I151" s="30"/>
    </row>
    <row r="152" spans="1:9">
      <c r="A152" s="1"/>
      <c r="B152" s="1"/>
      <c r="C152" s="27"/>
      <c r="D152" s="31"/>
      <c r="F152" s="30"/>
      <c r="G152" s="30"/>
      <c r="I152" s="30"/>
    </row>
    <row r="153" spans="1:9">
      <c r="A153" s="1"/>
      <c r="B153" s="1"/>
      <c r="C153" s="27"/>
      <c r="D153" s="31"/>
      <c r="F153" s="30"/>
      <c r="G153" s="30"/>
      <c r="I153" s="30"/>
    </row>
    <row r="154" spans="1:9">
      <c r="A154" s="1"/>
      <c r="B154" s="1"/>
      <c r="C154" s="27"/>
      <c r="D154" s="31"/>
      <c r="F154" s="30"/>
      <c r="G154" s="30"/>
      <c r="I154" s="30"/>
    </row>
    <row r="155" spans="1:9">
      <c r="A155" s="1"/>
      <c r="B155" s="1"/>
      <c r="C155" s="27"/>
      <c r="D155" s="31"/>
      <c r="F155" s="30"/>
      <c r="G155" s="30"/>
      <c r="I155" s="30"/>
    </row>
    <row r="156" spans="1:9">
      <c r="A156" s="1"/>
      <c r="B156" s="1"/>
      <c r="C156" s="27"/>
      <c r="D156" s="31"/>
      <c r="F156" s="30"/>
      <c r="G156" s="30"/>
      <c r="I156" s="30"/>
    </row>
    <row r="157" spans="1:9">
      <c r="A157" s="1"/>
      <c r="B157" s="1"/>
      <c r="C157" s="27"/>
      <c r="D157" s="31"/>
      <c r="F157" s="30"/>
      <c r="G157" s="30"/>
      <c r="I157" s="30"/>
    </row>
    <row r="158" spans="1:9">
      <c r="A158" s="1"/>
      <c r="B158" s="1"/>
      <c r="C158" s="27"/>
      <c r="D158" s="31"/>
      <c r="F158" s="30"/>
      <c r="G158" s="30"/>
      <c r="I158" s="30"/>
    </row>
    <row r="159" spans="1:9">
      <c r="A159" s="1"/>
      <c r="B159" s="1"/>
      <c r="C159" s="27"/>
      <c r="D159" s="31"/>
      <c r="F159" s="30"/>
      <c r="G159" s="30"/>
      <c r="I159" s="30"/>
    </row>
    <row r="160" spans="1:9">
      <c r="A160" s="1"/>
      <c r="B160" s="1"/>
      <c r="C160" s="27"/>
      <c r="D160" s="31"/>
      <c r="F160" s="30"/>
      <c r="G160" s="30"/>
      <c r="I160" s="30"/>
    </row>
    <row r="161" spans="1:9">
      <c r="A161" s="1"/>
      <c r="B161" s="1"/>
      <c r="C161" s="27"/>
      <c r="D161" s="31"/>
      <c r="F161" s="30"/>
      <c r="G161" s="30"/>
      <c r="I161" s="30"/>
    </row>
    <row r="162" spans="1:9">
      <c r="A162" s="1"/>
      <c r="B162" s="1"/>
      <c r="C162" s="27"/>
      <c r="D162" s="31"/>
      <c r="F162" s="30"/>
      <c r="G162" s="30"/>
      <c r="I162" s="30"/>
    </row>
    <row r="163" spans="1:9">
      <c r="A163" s="1"/>
      <c r="B163" s="1"/>
      <c r="C163" s="27"/>
      <c r="D163" s="31"/>
      <c r="F163" s="30"/>
      <c r="G163" s="30"/>
      <c r="I163" s="30"/>
    </row>
    <row r="164" spans="1:9">
      <c r="A164" s="1"/>
      <c r="B164" s="1"/>
      <c r="C164" s="27"/>
      <c r="D164" s="31"/>
      <c r="F164" s="30"/>
      <c r="G164" s="30"/>
      <c r="I164" s="30"/>
    </row>
    <row r="165" spans="1:9">
      <c r="A165" s="1"/>
      <c r="B165" s="1"/>
      <c r="C165" s="27"/>
      <c r="D165" s="31"/>
      <c r="F165" s="30"/>
      <c r="G165" s="30"/>
      <c r="I165" s="30"/>
    </row>
    <row r="166" spans="1:9">
      <c r="A166" s="1"/>
      <c r="B166" s="1"/>
      <c r="C166" s="27"/>
      <c r="D166" s="31"/>
      <c r="F166" s="30"/>
      <c r="G166" s="30"/>
      <c r="I166" s="30"/>
    </row>
    <row r="167" spans="1:9">
      <c r="A167" s="1"/>
      <c r="B167" s="1"/>
      <c r="C167" s="27"/>
      <c r="D167" s="31"/>
      <c r="F167" s="30"/>
      <c r="G167" s="30"/>
      <c r="I167" s="30"/>
    </row>
    <row r="168" spans="1:9">
      <c r="A168" s="1"/>
      <c r="B168" s="1"/>
      <c r="C168" s="27"/>
      <c r="D168" s="31"/>
      <c r="F168" s="30"/>
      <c r="G168" s="30"/>
      <c r="I168" s="30"/>
    </row>
    <row r="169" spans="1:9">
      <c r="A169" s="1"/>
      <c r="B169" s="1"/>
      <c r="C169" s="27"/>
      <c r="D169" s="31"/>
      <c r="F169" s="30"/>
      <c r="G169" s="30"/>
      <c r="I169" s="30"/>
    </row>
    <row r="170" spans="1:9">
      <c r="A170" s="1"/>
      <c r="B170" s="1"/>
      <c r="C170" s="27"/>
      <c r="D170" s="31"/>
      <c r="F170" s="30"/>
      <c r="G170" s="30"/>
      <c r="I170" s="30"/>
    </row>
    <row r="171" spans="1:9">
      <c r="A171" s="1"/>
      <c r="B171" s="1"/>
      <c r="C171" s="27"/>
      <c r="D171" s="31"/>
      <c r="F171" s="30"/>
      <c r="G171" s="30"/>
      <c r="I171" s="30"/>
    </row>
    <row r="172" spans="1:9">
      <c r="A172" s="1"/>
      <c r="B172" s="1"/>
      <c r="C172" s="27"/>
      <c r="D172" s="31"/>
      <c r="F172" s="30"/>
      <c r="G172" s="30"/>
      <c r="I172" s="30"/>
    </row>
    <row r="173" spans="1:9">
      <c r="A173" s="1"/>
      <c r="B173" s="1"/>
      <c r="C173" s="27"/>
      <c r="D173" s="31"/>
      <c r="F173" s="30"/>
      <c r="G173" s="30"/>
      <c r="I173" s="30"/>
    </row>
    <row r="174" spans="1:9">
      <c r="A174" s="1"/>
      <c r="B174" s="1"/>
      <c r="C174" s="27"/>
      <c r="D174" s="31"/>
      <c r="F174" s="30"/>
      <c r="G174" s="30"/>
      <c r="I174" s="30"/>
    </row>
    <row r="175" spans="1:9">
      <c r="A175" s="1"/>
      <c r="B175" s="1"/>
      <c r="C175" s="27"/>
      <c r="D175" s="31"/>
      <c r="F175" s="30"/>
      <c r="G175" s="30"/>
      <c r="I175" s="30"/>
    </row>
    <row r="176" spans="1:9">
      <c r="A176" s="1"/>
      <c r="B176" s="1"/>
      <c r="C176" s="27"/>
      <c r="D176" s="31"/>
      <c r="F176" s="30"/>
      <c r="G176" s="30"/>
      <c r="I176" s="30"/>
    </row>
    <row r="177" spans="1:9">
      <c r="A177" s="1"/>
      <c r="B177" s="1"/>
      <c r="C177" s="27"/>
      <c r="D177" s="31"/>
      <c r="F177" s="30"/>
      <c r="G177" s="30"/>
      <c r="I177" s="30"/>
    </row>
    <row r="178" spans="1:9">
      <c r="A178" s="1"/>
      <c r="B178" s="1"/>
      <c r="C178" s="27"/>
      <c r="D178" s="31"/>
      <c r="F178" s="30"/>
      <c r="G178" s="30"/>
      <c r="I178" s="30"/>
    </row>
    <row r="179" spans="1:9">
      <c r="A179" s="1"/>
      <c r="B179" s="1"/>
      <c r="C179" s="27"/>
      <c r="D179" s="31"/>
      <c r="F179" s="30"/>
      <c r="G179" s="30"/>
      <c r="I179" s="30"/>
    </row>
    <row r="180" spans="1:9">
      <c r="A180" s="1"/>
      <c r="B180" s="1"/>
      <c r="C180" s="27"/>
      <c r="D180" s="31"/>
      <c r="F180" s="30"/>
      <c r="G180" s="30"/>
      <c r="I180" s="30"/>
    </row>
    <row r="181" spans="1:9">
      <c r="A181" s="1"/>
      <c r="B181" s="1"/>
      <c r="C181" s="27"/>
      <c r="D181" s="31"/>
      <c r="F181" s="30"/>
      <c r="G181" s="30"/>
      <c r="I181" s="30"/>
    </row>
    <row r="182" spans="1:9">
      <c r="A182" s="1"/>
      <c r="B182" s="1"/>
      <c r="C182" s="27"/>
      <c r="D182" s="31"/>
      <c r="F182" s="30"/>
      <c r="G182" s="30"/>
      <c r="I182" s="30"/>
    </row>
    <row r="183" spans="1:9">
      <c r="A183" s="1"/>
      <c r="B183" s="1"/>
      <c r="C183" s="27"/>
      <c r="D183" s="31"/>
      <c r="F183" s="30"/>
      <c r="G183" s="30"/>
      <c r="I183" s="30"/>
    </row>
    <row r="184" spans="1:9">
      <c r="A184" s="1"/>
      <c r="B184" s="1"/>
      <c r="C184" s="27"/>
      <c r="D184" s="31"/>
      <c r="F184" s="30"/>
      <c r="G184" s="30"/>
      <c r="I184" s="30"/>
    </row>
    <row r="185" spans="1:9">
      <c r="A185" s="1"/>
      <c r="B185" s="1"/>
      <c r="C185" s="27"/>
      <c r="D185" s="31"/>
      <c r="F185" s="30"/>
      <c r="G185" s="30"/>
      <c r="I185" s="30"/>
    </row>
    <row r="186" spans="1:9">
      <c r="A186" s="1"/>
      <c r="B186" s="1"/>
      <c r="C186" s="27"/>
      <c r="D186" s="31"/>
      <c r="F186" s="30"/>
      <c r="G186" s="30"/>
      <c r="I186" s="30"/>
    </row>
    <row r="187" spans="1:9">
      <c r="A187" s="1"/>
      <c r="B187" s="1"/>
      <c r="C187" s="27"/>
      <c r="D187" s="31"/>
      <c r="F187" s="30"/>
      <c r="G187" s="30"/>
      <c r="I187" s="30"/>
    </row>
    <row r="188" spans="1:9">
      <c r="A188" s="1"/>
      <c r="B188" s="1"/>
      <c r="C188" s="27"/>
      <c r="D188" s="31"/>
      <c r="F188" s="30"/>
      <c r="G188" s="30"/>
      <c r="I188" s="30"/>
    </row>
    <row r="189" spans="1:9">
      <c r="A189" s="1"/>
      <c r="B189" s="1"/>
      <c r="C189" s="27"/>
      <c r="D189" s="31"/>
      <c r="F189" s="30"/>
      <c r="G189" s="30"/>
      <c r="I189" s="30"/>
    </row>
    <row r="190" spans="1:9">
      <c r="A190" s="1"/>
      <c r="B190" s="1"/>
      <c r="C190" s="27"/>
      <c r="D190" s="31"/>
      <c r="F190" s="30"/>
      <c r="G190" s="30"/>
      <c r="I190" s="30"/>
    </row>
    <row r="191" spans="1:9">
      <c r="A191" s="1"/>
      <c r="B191" s="1"/>
      <c r="C191" s="27"/>
      <c r="D191" s="31"/>
      <c r="F191" s="30"/>
      <c r="G191" s="30"/>
      <c r="I191" s="30"/>
    </row>
    <row r="192" spans="1:9">
      <c r="A192" s="1"/>
      <c r="B192" s="1"/>
      <c r="C192" s="27"/>
      <c r="D192" s="31"/>
      <c r="F192" s="30"/>
      <c r="G192" s="30"/>
      <c r="I192" s="30"/>
    </row>
    <row r="193" spans="1:9">
      <c r="A193" s="1"/>
      <c r="B193" s="1"/>
      <c r="C193" s="27"/>
      <c r="D193" s="31"/>
      <c r="F193" s="30"/>
      <c r="G193" s="30"/>
      <c r="I193" s="30"/>
    </row>
    <row r="194" spans="1:9">
      <c r="A194" s="1"/>
      <c r="B194" s="1"/>
      <c r="C194" s="27"/>
      <c r="D194" s="31"/>
      <c r="F194" s="30"/>
      <c r="G194" s="30"/>
      <c r="I194" s="30"/>
    </row>
    <row r="195" spans="1:9">
      <c r="A195" s="1"/>
      <c r="B195" s="1"/>
      <c r="C195" s="27"/>
      <c r="D195" s="31"/>
      <c r="F195" s="30"/>
      <c r="G195" s="30"/>
      <c r="I195" s="30"/>
    </row>
    <row r="196" spans="1:9">
      <c r="A196" s="1"/>
      <c r="B196" s="1"/>
      <c r="C196" s="27"/>
      <c r="D196" s="31"/>
      <c r="F196" s="30"/>
      <c r="G196" s="30"/>
      <c r="I196" s="30"/>
    </row>
    <row r="197" spans="1:9">
      <c r="A197" s="1"/>
      <c r="B197" s="1"/>
      <c r="C197" s="27"/>
      <c r="D197" s="31"/>
      <c r="F197" s="30"/>
      <c r="G197" s="30"/>
      <c r="I197" s="30"/>
    </row>
    <row r="198" spans="1:9">
      <c r="A198" s="1"/>
      <c r="B198" s="1"/>
      <c r="C198" s="27"/>
      <c r="D198" s="31"/>
      <c r="F198" s="30"/>
      <c r="G198" s="30"/>
      <c r="I198" s="30"/>
    </row>
    <row r="199" spans="1:9">
      <c r="A199" s="1"/>
      <c r="B199" s="1"/>
      <c r="C199" s="27"/>
      <c r="D199" s="31"/>
      <c r="F199" s="30"/>
      <c r="G199" s="30"/>
      <c r="I199" s="30"/>
    </row>
    <row r="200" spans="1:9">
      <c r="A200" s="1"/>
      <c r="B200" s="1"/>
      <c r="C200" s="27"/>
      <c r="D200" s="31"/>
      <c r="F200" s="30"/>
      <c r="G200" s="30"/>
      <c r="I200" s="30"/>
    </row>
    <row r="201" spans="1:9">
      <c r="A201" s="1"/>
      <c r="B201" s="1"/>
      <c r="C201" s="27"/>
      <c r="D201" s="31"/>
      <c r="F201" s="30"/>
      <c r="G201" s="30"/>
      <c r="I201" s="30"/>
    </row>
    <row r="202" spans="1:9">
      <c r="A202" s="1"/>
      <c r="B202" s="1"/>
      <c r="C202" s="27"/>
      <c r="D202" s="31"/>
      <c r="F202" s="30"/>
      <c r="G202" s="30"/>
      <c r="I202" s="30"/>
    </row>
    <row r="203" spans="1:9">
      <c r="A203" s="1"/>
      <c r="B203" s="1"/>
      <c r="C203" s="27"/>
      <c r="D203" s="31"/>
      <c r="F203" s="30"/>
      <c r="G203" s="30"/>
      <c r="I203" s="30"/>
    </row>
    <row r="204" spans="1:9">
      <c r="A204" s="1"/>
      <c r="B204" s="1"/>
      <c r="C204" s="27"/>
      <c r="D204" s="31"/>
      <c r="F204" s="30"/>
      <c r="G204" s="30"/>
      <c r="I204" s="30"/>
    </row>
    <row r="205" spans="1:9">
      <c r="A205" s="1"/>
      <c r="B205" s="1"/>
      <c r="C205" s="27"/>
      <c r="D205" s="31"/>
      <c r="F205" s="30"/>
      <c r="G205" s="30"/>
      <c r="I205" s="30"/>
    </row>
    <row r="206" spans="1:9">
      <c r="A206" s="1"/>
      <c r="B206" s="1"/>
      <c r="C206" s="27"/>
      <c r="D206" s="31"/>
      <c r="F206" s="30"/>
      <c r="G206" s="30"/>
      <c r="I206" s="30"/>
    </row>
    <row r="207" spans="1:9">
      <c r="A207" s="1"/>
      <c r="B207" s="1"/>
      <c r="C207" s="27"/>
      <c r="D207" s="31"/>
      <c r="F207" s="30"/>
      <c r="G207" s="30"/>
      <c r="I207" s="30"/>
    </row>
    <row r="208" spans="1:9">
      <c r="A208" s="1"/>
      <c r="B208" s="1"/>
      <c r="C208" s="27"/>
      <c r="D208" s="31"/>
      <c r="F208" s="30"/>
      <c r="G208" s="30"/>
      <c r="I208" s="30"/>
    </row>
    <row r="209" spans="1:9">
      <c r="A209" s="1"/>
      <c r="B209" s="1"/>
      <c r="C209" s="27"/>
      <c r="D209" s="31"/>
      <c r="F209" s="30"/>
      <c r="G209" s="30"/>
      <c r="I209" s="30"/>
    </row>
    <row r="210" spans="1:9">
      <c r="A210" s="1"/>
      <c r="B210" s="1"/>
      <c r="C210" s="27"/>
      <c r="D210" s="31"/>
      <c r="F210" s="30"/>
      <c r="G210" s="30"/>
      <c r="I210" s="30"/>
    </row>
    <row r="211" spans="1:9">
      <c r="A211" s="1"/>
      <c r="B211" s="1"/>
      <c r="C211" s="27"/>
      <c r="D211" s="31"/>
      <c r="F211" s="30"/>
      <c r="G211" s="30"/>
      <c r="I211" s="30"/>
    </row>
    <row r="212" spans="1:9">
      <c r="A212" s="1"/>
      <c r="B212" s="1"/>
      <c r="C212" s="27"/>
      <c r="D212" s="31"/>
      <c r="F212" s="30"/>
      <c r="G212" s="30"/>
      <c r="I212" s="30"/>
    </row>
    <row r="213" spans="1:9">
      <c r="A213" s="1"/>
      <c r="B213" s="1"/>
      <c r="C213" s="27"/>
      <c r="D213" s="31"/>
      <c r="F213" s="30"/>
      <c r="G213" s="30"/>
      <c r="I213" s="30"/>
    </row>
    <row r="214" spans="1:9">
      <c r="A214" s="1"/>
      <c r="B214" s="1"/>
      <c r="C214" s="27"/>
      <c r="D214" s="31"/>
      <c r="F214" s="30"/>
      <c r="G214" s="30"/>
      <c r="I214" s="30"/>
    </row>
    <row r="215" spans="1:9">
      <c r="A215" s="1"/>
      <c r="B215" s="1"/>
      <c r="C215" s="27"/>
      <c r="D215" s="31"/>
      <c r="F215" s="30"/>
      <c r="G215" s="30"/>
      <c r="I215" s="30"/>
    </row>
    <row r="216" spans="1:9">
      <c r="A216" s="1"/>
      <c r="B216" s="1"/>
      <c r="C216" s="27"/>
      <c r="D216" s="31"/>
      <c r="F216" s="30"/>
      <c r="G216" s="30"/>
      <c r="I216" s="30"/>
    </row>
    <row r="217" spans="1:9">
      <c r="A217" s="1"/>
      <c r="B217" s="1"/>
      <c r="C217" s="27"/>
      <c r="D217" s="31"/>
      <c r="F217" s="30"/>
      <c r="G217" s="30"/>
      <c r="I217" s="30"/>
    </row>
    <row r="218" spans="1:9">
      <c r="A218" s="1"/>
      <c r="B218" s="1"/>
      <c r="C218" s="27"/>
      <c r="D218" s="31"/>
      <c r="F218" s="30"/>
      <c r="G218" s="30"/>
      <c r="I218" s="30"/>
    </row>
    <row r="219" spans="1:9">
      <c r="A219" s="1"/>
      <c r="B219" s="1"/>
      <c r="C219" s="27"/>
      <c r="D219" s="31"/>
      <c r="F219" s="30"/>
      <c r="G219" s="30"/>
      <c r="I219" s="30"/>
    </row>
    <row r="220" spans="1:9">
      <c r="A220" s="1"/>
      <c r="B220" s="1"/>
      <c r="C220" s="27"/>
      <c r="D220" s="31"/>
      <c r="F220" s="30"/>
      <c r="G220" s="30"/>
      <c r="I220" s="30"/>
    </row>
    <row r="221" spans="1:9">
      <c r="A221" s="1"/>
      <c r="B221" s="1"/>
      <c r="C221" s="27"/>
      <c r="D221" s="31"/>
      <c r="F221" s="30"/>
      <c r="G221" s="30"/>
      <c r="I221" s="30"/>
    </row>
    <row r="222" spans="1:9">
      <c r="A222" s="1"/>
      <c r="B222" s="1"/>
      <c r="C222" s="27"/>
      <c r="D222" s="31"/>
      <c r="F222" s="30"/>
      <c r="G222" s="30"/>
      <c r="I222" s="30"/>
    </row>
    <row r="223" spans="1:9">
      <c r="A223" s="1"/>
      <c r="B223" s="1"/>
      <c r="C223" s="27"/>
      <c r="D223" s="31"/>
      <c r="F223" s="30"/>
      <c r="G223" s="30"/>
      <c r="I223" s="30"/>
    </row>
    <row r="224" spans="1:9">
      <c r="A224" s="1"/>
      <c r="B224" s="1"/>
      <c r="C224" s="27"/>
      <c r="D224" s="31"/>
      <c r="F224" s="30"/>
      <c r="G224" s="30"/>
      <c r="I224" s="30"/>
    </row>
    <row r="225" spans="1:9">
      <c r="A225" s="1"/>
      <c r="B225" s="1"/>
      <c r="C225" s="27"/>
      <c r="D225" s="31"/>
      <c r="F225" s="30"/>
      <c r="G225" s="30"/>
      <c r="I225" s="30"/>
    </row>
    <row r="226" spans="1:9">
      <c r="A226" s="1"/>
      <c r="B226" s="1"/>
      <c r="C226" s="27"/>
      <c r="D226" s="31"/>
      <c r="F226" s="30"/>
      <c r="G226" s="30"/>
      <c r="I226" s="30"/>
    </row>
    <row r="227" spans="1:9">
      <c r="A227" s="1"/>
      <c r="B227" s="1"/>
      <c r="C227" s="27"/>
      <c r="D227" s="31"/>
      <c r="F227" s="30"/>
      <c r="G227" s="30"/>
      <c r="I227" s="30"/>
    </row>
    <row r="228" spans="1:9">
      <c r="A228" s="1"/>
      <c r="B228" s="1"/>
      <c r="C228" s="27"/>
      <c r="D228" s="31"/>
      <c r="F228" s="30"/>
      <c r="G228" s="30"/>
      <c r="I228" s="30"/>
    </row>
    <row r="229" spans="1:9">
      <c r="A229" s="1"/>
      <c r="B229" s="1"/>
      <c r="C229" s="27"/>
      <c r="D229" s="31"/>
      <c r="F229" s="30"/>
      <c r="G229" s="30"/>
      <c r="I229" s="30"/>
    </row>
    <row r="230" spans="1:9">
      <c r="A230" s="1"/>
      <c r="B230" s="1"/>
      <c r="C230" s="27"/>
      <c r="D230" s="31"/>
      <c r="F230" s="30"/>
      <c r="G230" s="30"/>
      <c r="I230" s="30"/>
    </row>
    <row r="231" spans="1:9">
      <c r="A231" s="1"/>
      <c r="B231" s="1"/>
      <c r="C231" s="27"/>
      <c r="D231" s="31"/>
      <c r="F231" s="30"/>
      <c r="G231" s="30"/>
      <c r="I231" s="30"/>
    </row>
    <row r="232" spans="1:9">
      <c r="A232" s="1"/>
      <c r="B232" s="1"/>
      <c r="C232" s="27"/>
      <c r="D232" s="31"/>
      <c r="F232" s="30"/>
      <c r="G232" s="30"/>
      <c r="I232" s="30"/>
    </row>
    <row r="233" spans="1:9">
      <c r="A233" s="1"/>
      <c r="B233" s="1"/>
      <c r="C233" s="27"/>
      <c r="D233" s="31"/>
      <c r="F233" s="30"/>
      <c r="G233" s="30"/>
      <c r="I233" s="30"/>
    </row>
    <row r="234" spans="1:9">
      <c r="A234" s="1"/>
      <c r="B234" s="1"/>
      <c r="C234" s="27"/>
      <c r="D234" s="31"/>
      <c r="F234" s="30"/>
      <c r="G234" s="30"/>
      <c r="I234" s="30"/>
    </row>
    <row r="235" spans="1:9">
      <c r="A235" s="1"/>
      <c r="B235" s="1"/>
      <c r="C235" s="27"/>
      <c r="D235" s="31"/>
      <c r="F235" s="30"/>
      <c r="G235" s="30"/>
      <c r="I235" s="30"/>
    </row>
    <row r="236" spans="1:9">
      <c r="A236" s="1"/>
      <c r="B236" s="1"/>
      <c r="C236" s="27"/>
      <c r="D236" s="31"/>
      <c r="F236" s="30"/>
      <c r="G236" s="30"/>
      <c r="I236" s="30"/>
    </row>
    <row r="237" spans="1:9">
      <c r="A237" s="1"/>
      <c r="B237" s="1"/>
      <c r="C237" s="27"/>
      <c r="D237" s="31"/>
      <c r="F237" s="30"/>
      <c r="G237" s="30"/>
      <c r="I237" s="30"/>
    </row>
    <row r="238" spans="1:9">
      <c r="A238" s="1"/>
      <c r="B238" s="1"/>
      <c r="C238" s="27"/>
      <c r="D238" s="31"/>
      <c r="F238" s="30"/>
      <c r="G238" s="30"/>
      <c r="I238" s="30"/>
    </row>
    <row r="239" spans="1:9">
      <c r="A239" s="1"/>
      <c r="B239" s="1"/>
      <c r="C239" s="27"/>
      <c r="D239" s="31"/>
      <c r="F239" s="30"/>
      <c r="G239" s="30"/>
      <c r="I239" s="30"/>
    </row>
    <row r="240" spans="1:9">
      <c r="A240" s="1"/>
      <c r="B240" s="1"/>
      <c r="C240" s="27"/>
      <c r="D240" s="31"/>
      <c r="F240" s="30"/>
      <c r="G240" s="30"/>
      <c r="I240" s="30"/>
    </row>
    <row r="241" spans="1:9">
      <c r="A241" s="1"/>
      <c r="B241" s="1"/>
      <c r="C241" s="27"/>
      <c r="D241" s="31"/>
      <c r="F241" s="30"/>
      <c r="G241" s="30"/>
      <c r="I241" s="30"/>
    </row>
    <row r="242" spans="1:9">
      <c r="A242" s="1"/>
      <c r="B242" s="1"/>
      <c r="C242" s="27"/>
      <c r="D242" s="31"/>
      <c r="F242" s="30"/>
      <c r="G242" s="30"/>
      <c r="I242" s="30"/>
    </row>
    <row r="243" spans="1:9">
      <c r="A243" s="1"/>
      <c r="B243" s="1"/>
      <c r="C243" s="27"/>
      <c r="D243" s="31"/>
      <c r="F243" s="30"/>
      <c r="G243" s="30"/>
      <c r="I243" s="30"/>
    </row>
    <row r="244" spans="1:9">
      <c r="A244" s="1"/>
      <c r="B244" s="1"/>
      <c r="C244" s="27"/>
      <c r="D244" s="31"/>
      <c r="F244" s="30"/>
      <c r="G244" s="30"/>
      <c r="I244" s="30"/>
    </row>
    <row r="245" spans="1:9">
      <c r="A245" s="1"/>
      <c r="B245" s="1"/>
      <c r="C245" s="27"/>
      <c r="D245" s="31"/>
      <c r="F245" s="30"/>
      <c r="G245" s="30"/>
      <c r="I245" s="30"/>
    </row>
    <row r="246" spans="1:9">
      <c r="A246" s="1"/>
      <c r="B246" s="1"/>
      <c r="C246" s="27"/>
      <c r="D246" s="31"/>
      <c r="F246" s="30"/>
      <c r="G246" s="30"/>
      <c r="I246" s="30"/>
    </row>
    <row r="247" spans="1:9">
      <c r="A247" s="1"/>
      <c r="B247" s="1"/>
      <c r="C247" s="27"/>
      <c r="D247" s="31"/>
      <c r="F247" s="30"/>
      <c r="G247" s="30"/>
      <c r="I247" s="30"/>
    </row>
    <row r="248" spans="1:9">
      <c r="A248" s="1"/>
      <c r="B248" s="1"/>
      <c r="C248" s="27"/>
      <c r="D248" s="31"/>
      <c r="F248" s="30"/>
      <c r="G248" s="30"/>
      <c r="I248" s="30"/>
    </row>
    <row r="249" spans="1:9">
      <c r="A249" s="1"/>
      <c r="B249" s="1"/>
      <c r="C249" s="27"/>
      <c r="D249" s="31"/>
      <c r="F249" s="30"/>
      <c r="G249" s="30"/>
      <c r="I249" s="30"/>
    </row>
    <row r="250" spans="1:9">
      <c r="A250" s="1"/>
      <c r="B250" s="1"/>
      <c r="C250" s="27"/>
      <c r="D250" s="31"/>
      <c r="F250" s="30"/>
      <c r="G250" s="30"/>
      <c r="I250" s="30"/>
    </row>
    <row r="251" spans="1:9">
      <c r="A251" s="1"/>
      <c r="B251" s="1"/>
      <c r="C251" s="27"/>
      <c r="D251" s="31"/>
      <c r="F251" s="30"/>
      <c r="G251" s="30"/>
      <c r="I251" s="30"/>
    </row>
    <row r="252" spans="1:9">
      <c r="A252" s="1"/>
      <c r="B252" s="1"/>
      <c r="C252" s="27"/>
      <c r="D252" s="31"/>
      <c r="F252" s="30"/>
      <c r="G252" s="30"/>
      <c r="I252" s="30"/>
    </row>
    <row r="253" spans="1:9">
      <c r="A253" s="1"/>
      <c r="B253" s="1"/>
      <c r="C253" s="27"/>
      <c r="D253" s="31"/>
      <c r="F253" s="30"/>
      <c r="G253" s="30"/>
      <c r="I253" s="30"/>
    </row>
    <row r="254" spans="1:9">
      <c r="A254" s="1"/>
      <c r="B254" s="1"/>
      <c r="C254" s="27"/>
      <c r="D254" s="31"/>
      <c r="F254" s="30"/>
      <c r="G254" s="30"/>
      <c r="I254" s="30"/>
    </row>
    <row r="255" spans="1:9">
      <c r="A255" s="1"/>
      <c r="B255" s="1"/>
      <c r="C255" s="27"/>
      <c r="D255" s="31"/>
      <c r="F255" s="30"/>
      <c r="G255" s="30"/>
      <c r="I255" s="30"/>
    </row>
    <row r="256" spans="1:9">
      <c r="A256" s="1"/>
      <c r="B256" s="1"/>
      <c r="C256" s="27"/>
      <c r="D256" s="31"/>
      <c r="F256" s="30"/>
      <c r="G256" s="30"/>
      <c r="I256" s="30"/>
    </row>
    <row r="257" spans="1:9">
      <c r="A257" s="1"/>
      <c r="B257" s="1"/>
      <c r="C257" s="27"/>
      <c r="D257" s="31"/>
      <c r="F257" s="30"/>
      <c r="G257" s="30"/>
      <c r="I257" s="30"/>
    </row>
    <row r="258" spans="1:9">
      <c r="A258" s="1"/>
      <c r="B258" s="1"/>
      <c r="C258" s="27"/>
      <c r="D258" s="31"/>
      <c r="F258" s="30"/>
      <c r="G258" s="30"/>
      <c r="I258" s="30"/>
    </row>
    <row r="259" spans="1:9">
      <c r="A259" s="1"/>
      <c r="B259" s="1"/>
      <c r="C259" s="27"/>
      <c r="D259" s="31"/>
      <c r="F259" s="30"/>
      <c r="G259" s="30"/>
      <c r="I259" s="30"/>
    </row>
    <row r="260" spans="1:9">
      <c r="A260" s="1"/>
      <c r="B260" s="1"/>
      <c r="C260" s="27"/>
      <c r="D260" s="31"/>
      <c r="F260" s="30"/>
      <c r="G260" s="30"/>
      <c r="I260" s="30"/>
    </row>
    <row r="261" spans="1:9">
      <c r="A261" s="1"/>
      <c r="B261" s="1"/>
      <c r="C261" s="27"/>
      <c r="D261" s="31"/>
      <c r="F261" s="30"/>
      <c r="G261" s="30"/>
      <c r="I261" s="30"/>
    </row>
    <row r="262" spans="1:9">
      <c r="A262" s="1"/>
      <c r="B262" s="1"/>
      <c r="C262" s="27"/>
      <c r="D262" s="31"/>
      <c r="F262" s="30"/>
      <c r="G262" s="30"/>
      <c r="I262" s="30"/>
    </row>
    <row r="263" spans="1:9">
      <c r="A263" s="1"/>
      <c r="B263" s="1"/>
      <c r="C263" s="27"/>
      <c r="D263" s="31"/>
      <c r="F263" s="30"/>
      <c r="G263" s="30"/>
      <c r="I263" s="30"/>
    </row>
    <row r="264" spans="1:9">
      <c r="A264" s="1"/>
      <c r="B264" s="1"/>
      <c r="C264" s="27"/>
      <c r="D264" s="31"/>
      <c r="F264" s="30"/>
      <c r="G264" s="30"/>
      <c r="I264" s="30"/>
    </row>
    <row r="265" spans="1:9">
      <c r="A265" s="1"/>
      <c r="B265" s="1"/>
      <c r="C265" s="27"/>
      <c r="D265" s="31"/>
      <c r="F265" s="30"/>
      <c r="G265" s="30"/>
      <c r="I265" s="30"/>
    </row>
    <row r="266" spans="1:9">
      <c r="A266" s="1"/>
      <c r="B266" s="1"/>
      <c r="C266" s="27"/>
      <c r="D266" s="31"/>
      <c r="F266" s="30"/>
      <c r="G266" s="30"/>
      <c r="I266" s="30"/>
    </row>
    <row r="267" spans="1:9">
      <c r="A267" s="1"/>
      <c r="B267" s="1"/>
      <c r="C267" s="27"/>
      <c r="D267" s="31"/>
      <c r="F267" s="30"/>
      <c r="G267" s="30"/>
      <c r="I267" s="30"/>
    </row>
    <row r="268" spans="1:9">
      <c r="A268" s="1"/>
      <c r="B268" s="1"/>
      <c r="C268" s="27"/>
      <c r="D268" s="31"/>
      <c r="F268" s="30"/>
      <c r="G268" s="30"/>
      <c r="I268" s="30"/>
    </row>
    <row r="269" spans="1:9">
      <c r="A269" s="1"/>
      <c r="B269" s="1"/>
      <c r="C269" s="27"/>
      <c r="D269" s="31"/>
      <c r="F269" s="30"/>
      <c r="G269" s="30"/>
      <c r="I269" s="30"/>
    </row>
    <row r="270" spans="1:9">
      <c r="A270" s="1"/>
      <c r="B270" s="1"/>
      <c r="C270" s="27"/>
      <c r="D270" s="31"/>
      <c r="F270" s="30"/>
      <c r="G270" s="30"/>
      <c r="I270" s="30"/>
    </row>
    <row r="271" spans="1:9">
      <c r="A271" s="1"/>
      <c r="B271" s="1"/>
      <c r="C271" s="27"/>
      <c r="D271" s="31"/>
      <c r="F271" s="30"/>
      <c r="G271" s="30"/>
      <c r="I271" s="30"/>
    </row>
    <row r="272" spans="1:9">
      <c r="A272" s="1"/>
      <c r="B272" s="1"/>
      <c r="C272" s="27"/>
      <c r="D272" s="31"/>
      <c r="F272" s="30"/>
      <c r="G272" s="30"/>
      <c r="I272" s="30"/>
    </row>
    <row r="273" spans="1:9">
      <c r="A273" s="1"/>
      <c r="B273" s="1"/>
      <c r="C273" s="27"/>
      <c r="D273" s="31"/>
      <c r="F273" s="30"/>
      <c r="G273" s="30"/>
      <c r="I273" s="30"/>
    </row>
    <row r="274" spans="1:9">
      <c r="A274" s="1"/>
      <c r="B274" s="1"/>
      <c r="C274" s="27"/>
      <c r="D274" s="31"/>
      <c r="F274" s="30"/>
      <c r="G274" s="30"/>
      <c r="I274" s="30"/>
    </row>
    <row r="275" spans="1:9">
      <c r="A275" s="1"/>
      <c r="B275" s="1"/>
      <c r="C275" s="27"/>
      <c r="D275" s="31"/>
      <c r="F275" s="30"/>
      <c r="G275" s="30"/>
      <c r="I275" s="30"/>
    </row>
    <row r="276" spans="1:9">
      <c r="A276" s="1"/>
      <c r="B276" s="1"/>
      <c r="C276" s="27"/>
      <c r="D276" s="31"/>
      <c r="F276" s="30"/>
      <c r="G276" s="30"/>
      <c r="I276" s="30"/>
    </row>
    <row r="277" spans="1:9">
      <c r="A277" s="1"/>
      <c r="B277" s="1"/>
      <c r="C277" s="27"/>
      <c r="D277" s="31"/>
      <c r="F277" s="30"/>
      <c r="G277" s="30"/>
      <c r="I277" s="30"/>
    </row>
    <row r="278" spans="1:9">
      <c r="A278" s="1"/>
      <c r="B278" s="1"/>
      <c r="C278" s="27"/>
      <c r="D278" s="31"/>
      <c r="F278" s="30"/>
      <c r="G278" s="30"/>
      <c r="I278" s="30"/>
    </row>
    <row r="279" spans="1:9">
      <c r="A279" s="1"/>
      <c r="B279" s="1"/>
      <c r="C279" s="27"/>
      <c r="D279" s="31"/>
      <c r="F279" s="30"/>
      <c r="G279" s="30"/>
      <c r="I279" s="30"/>
    </row>
    <row r="280" spans="1:9">
      <c r="A280" s="1"/>
      <c r="B280" s="1"/>
      <c r="C280" s="27"/>
      <c r="D280" s="31"/>
      <c r="F280" s="30"/>
      <c r="G280" s="30"/>
      <c r="I280" s="30"/>
    </row>
    <row r="281" spans="1:9">
      <c r="A281" s="1"/>
      <c r="B281" s="1"/>
      <c r="C281" s="27"/>
      <c r="D281" s="31"/>
      <c r="F281" s="30"/>
      <c r="G281" s="30"/>
      <c r="I281" s="30"/>
    </row>
    <row r="282" spans="1:9">
      <c r="A282" s="1"/>
      <c r="B282" s="1"/>
      <c r="C282" s="27"/>
      <c r="D282" s="31"/>
      <c r="F282" s="30"/>
      <c r="G282" s="30"/>
      <c r="I282" s="30"/>
    </row>
    <row r="283" spans="1:9">
      <c r="A283" s="1"/>
      <c r="B283" s="1"/>
      <c r="C283" s="27"/>
      <c r="D283" s="31"/>
      <c r="F283" s="30"/>
      <c r="G283" s="30"/>
      <c r="I283" s="30"/>
    </row>
    <row r="284" spans="1:9">
      <c r="A284" s="1"/>
      <c r="B284" s="1"/>
      <c r="C284" s="27"/>
      <c r="D284" s="31"/>
      <c r="F284" s="30"/>
      <c r="G284" s="30"/>
      <c r="I284" s="30"/>
    </row>
    <row r="285" spans="1:9">
      <c r="A285" s="1"/>
      <c r="B285" s="1"/>
      <c r="C285" s="27"/>
      <c r="D285" s="31"/>
      <c r="F285" s="30"/>
      <c r="G285" s="30"/>
      <c r="I285" s="30"/>
    </row>
    <row r="286" spans="1:9">
      <c r="A286" s="1"/>
      <c r="B286" s="1"/>
      <c r="C286" s="27"/>
      <c r="D286" s="31"/>
      <c r="F286" s="30"/>
      <c r="G286" s="30"/>
      <c r="I286" s="30"/>
    </row>
    <row r="287" spans="1:9">
      <c r="A287" s="1"/>
      <c r="B287" s="1"/>
      <c r="C287" s="27"/>
      <c r="D287" s="31"/>
      <c r="F287" s="30"/>
      <c r="G287" s="30"/>
      <c r="I287" s="30"/>
    </row>
    <row r="288" spans="1:9">
      <c r="A288" s="1"/>
      <c r="B288" s="1"/>
      <c r="C288" s="27"/>
      <c r="D288" s="31"/>
      <c r="F288" s="30"/>
      <c r="G288" s="30"/>
      <c r="I288" s="30"/>
    </row>
    <row r="289" spans="1:9">
      <c r="A289" s="1"/>
      <c r="B289" s="1"/>
      <c r="C289" s="27"/>
      <c r="D289" s="31"/>
      <c r="F289" s="30"/>
      <c r="G289" s="30"/>
      <c r="I289" s="30"/>
    </row>
    <row r="290" spans="1:9">
      <c r="A290" s="1"/>
      <c r="B290" s="1"/>
      <c r="C290" s="27"/>
      <c r="D290" s="31"/>
      <c r="F290" s="30"/>
      <c r="G290" s="30"/>
      <c r="I290" s="30"/>
    </row>
    <row r="291" spans="1:9">
      <c r="A291" s="1"/>
      <c r="B291" s="1"/>
      <c r="C291" s="27"/>
      <c r="D291" s="31"/>
      <c r="F291" s="30"/>
      <c r="G291" s="30"/>
      <c r="I291" s="30"/>
    </row>
    <row r="292" spans="1:9">
      <c r="A292" s="1"/>
      <c r="B292" s="1"/>
      <c r="C292" s="27"/>
      <c r="D292" s="31"/>
      <c r="F292" s="30"/>
      <c r="G292" s="30"/>
      <c r="I292" s="30"/>
    </row>
    <row r="293" spans="1:9">
      <c r="A293" s="1"/>
      <c r="B293" s="1"/>
      <c r="C293" s="27"/>
      <c r="D293" s="31"/>
      <c r="F293" s="30"/>
      <c r="G293" s="30"/>
      <c r="I293" s="30"/>
    </row>
    <row r="294" spans="1:9">
      <c r="A294" s="1"/>
      <c r="B294" s="1"/>
      <c r="C294" s="27"/>
      <c r="D294" s="31"/>
      <c r="F294" s="30"/>
      <c r="G294" s="30"/>
      <c r="I294" s="30"/>
    </row>
    <row r="295" spans="1:9">
      <c r="A295" s="1"/>
      <c r="B295" s="1"/>
      <c r="C295" s="27"/>
      <c r="D295" s="31"/>
      <c r="F295" s="30"/>
      <c r="G295" s="30"/>
      <c r="I295" s="30"/>
    </row>
    <row r="296" spans="1:9">
      <c r="A296" s="1"/>
      <c r="B296" s="1"/>
      <c r="C296" s="27"/>
      <c r="D296" s="31"/>
      <c r="F296" s="30"/>
      <c r="G296" s="30"/>
      <c r="I296" s="30"/>
    </row>
    <row r="297" spans="1:9">
      <c r="A297" s="1"/>
      <c r="B297" s="1"/>
      <c r="C297" s="27"/>
      <c r="D297" s="31"/>
      <c r="F297" s="30"/>
      <c r="G297" s="30"/>
      <c r="I297" s="30"/>
    </row>
    <row r="298" spans="1:9">
      <c r="A298" s="1"/>
      <c r="B298" s="1"/>
      <c r="C298" s="27"/>
      <c r="D298" s="31"/>
      <c r="F298" s="30"/>
      <c r="G298" s="30"/>
      <c r="I298" s="30"/>
    </row>
    <row r="299" spans="1:9">
      <c r="A299" s="1"/>
      <c r="B299" s="1"/>
      <c r="C299" s="27"/>
      <c r="D299" s="31"/>
      <c r="F299" s="30"/>
      <c r="G299" s="30"/>
      <c r="I299" s="30"/>
    </row>
    <row r="300" spans="1:9">
      <c r="A300" s="1"/>
      <c r="B300" s="1"/>
      <c r="C300" s="27"/>
      <c r="D300" s="31"/>
      <c r="F300" s="30"/>
      <c r="G300" s="30"/>
      <c r="I300" s="30"/>
    </row>
    <row r="301" spans="1:9">
      <c r="A301" s="1"/>
      <c r="B301" s="1"/>
      <c r="C301" s="27"/>
      <c r="D301" s="31"/>
      <c r="F301" s="30"/>
      <c r="G301" s="30"/>
      <c r="I301" s="30"/>
    </row>
    <row r="302" spans="1:9">
      <c r="A302" s="1"/>
      <c r="B302" s="1"/>
      <c r="C302" s="27"/>
      <c r="D302" s="31"/>
      <c r="F302" s="30"/>
      <c r="G302" s="30"/>
      <c r="I302" s="30"/>
    </row>
    <row r="303" spans="1:9">
      <c r="A303" s="1"/>
      <c r="B303" s="1"/>
      <c r="C303" s="27"/>
      <c r="D303" s="31"/>
      <c r="F303" s="30"/>
      <c r="G303" s="30"/>
      <c r="I303" s="30"/>
    </row>
    <row r="304" spans="1:9">
      <c r="A304" s="1"/>
      <c r="B304" s="1"/>
      <c r="C304" s="27"/>
      <c r="D304" s="31"/>
      <c r="F304" s="30"/>
      <c r="G304" s="30"/>
      <c r="I304" s="30"/>
    </row>
    <row r="305" spans="1:9">
      <c r="A305" s="1"/>
      <c r="B305" s="1"/>
      <c r="C305" s="27"/>
      <c r="D305" s="31"/>
      <c r="F305" s="30"/>
      <c r="G305" s="30"/>
      <c r="I305" s="30"/>
    </row>
    <row r="306" spans="1:9">
      <c r="A306" s="1"/>
      <c r="B306" s="1"/>
      <c r="C306" s="27"/>
      <c r="D306" s="31"/>
      <c r="F306" s="30"/>
      <c r="G306" s="30"/>
      <c r="I306" s="30"/>
    </row>
    <row r="307" spans="1:9">
      <c r="A307" s="1"/>
      <c r="B307" s="1"/>
      <c r="C307" s="27"/>
      <c r="D307" s="31"/>
      <c r="F307" s="30"/>
      <c r="G307" s="30"/>
      <c r="I307" s="30"/>
    </row>
    <row r="308" spans="1:9">
      <c r="A308" s="1"/>
      <c r="B308" s="1"/>
      <c r="C308" s="27"/>
      <c r="D308" s="31"/>
      <c r="F308" s="30"/>
      <c r="G308" s="30"/>
      <c r="I308" s="30"/>
    </row>
    <row r="309" spans="1:9">
      <c r="A309" s="1"/>
      <c r="B309" s="1"/>
      <c r="C309" s="27"/>
      <c r="D309" s="31"/>
      <c r="F309" s="30"/>
      <c r="G309" s="30"/>
      <c r="I309" s="30"/>
    </row>
    <row r="310" spans="1:9">
      <c r="A310" s="1"/>
      <c r="B310" s="1"/>
      <c r="C310" s="27"/>
      <c r="D310" s="31"/>
      <c r="F310" s="30"/>
      <c r="G310" s="30"/>
      <c r="I310" s="30"/>
    </row>
    <row r="311" spans="1:9">
      <c r="A311" s="1"/>
      <c r="B311" s="1"/>
      <c r="C311" s="27"/>
      <c r="D311" s="31"/>
      <c r="F311" s="30"/>
      <c r="G311" s="30"/>
      <c r="I311" s="30"/>
    </row>
    <row r="312" spans="1:9">
      <c r="A312" s="1"/>
      <c r="B312" s="1"/>
      <c r="C312" s="27"/>
      <c r="D312" s="31"/>
      <c r="F312" s="30"/>
      <c r="G312" s="30"/>
      <c r="I312" s="30"/>
    </row>
    <row r="313" spans="1:9">
      <c r="A313" s="1"/>
      <c r="B313" s="1"/>
      <c r="C313" s="27"/>
      <c r="D313" s="31"/>
      <c r="F313" s="30"/>
      <c r="G313" s="30"/>
      <c r="I313" s="30"/>
    </row>
    <row r="314" spans="1:9">
      <c r="A314" s="1"/>
      <c r="B314" s="1"/>
      <c r="C314" s="27"/>
      <c r="D314" s="31"/>
      <c r="F314" s="30"/>
      <c r="G314" s="30"/>
      <c r="I314" s="30"/>
    </row>
    <row r="315" spans="1:9">
      <c r="A315" s="1"/>
      <c r="B315" s="1"/>
      <c r="C315" s="27"/>
      <c r="D315" s="31"/>
      <c r="F315" s="30"/>
      <c r="G315" s="30"/>
      <c r="I315" s="30"/>
    </row>
    <row r="316" spans="1:9">
      <c r="A316" s="1"/>
      <c r="B316" s="1"/>
      <c r="C316" s="27"/>
      <c r="D316" s="31"/>
      <c r="F316" s="30"/>
      <c r="G316" s="30"/>
      <c r="I316" s="30"/>
    </row>
    <row r="317" spans="1:9">
      <c r="A317" s="1"/>
      <c r="B317" s="1"/>
      <c r="C317" s="27"/>
      <c r="D317" s="31"/>
      <c r="F317" s="30"/>
      <c r="G317" s="30"/>
      <c r="I317" s="30"/>
    </row>
    <row r="318" spans="1:9">
      <c r="A318" s="1"/>
      <c r="B318" s="1"/>
      <c r="C318" s="27"/>
      <c r="D318" s="31"/>
      <c r="F318" s="30"/>
      <c r="G318" s="30"/>
      <c r="I318" s="30"/>
    </row>
    <row r="319" spans="1:9">
      <c r="A319" s="1"/>
      <c r="B319" s="1"/>
      <c r="C319" s="27"/>
      <c r="D319" s="31"/>
      <c r="F319" s="30"/>
      <c r="G319" s="30"/>
      <c r="I319" s="30"/>
    </row>
    <row r="320" spans="1:9">
      <c r="A320" s="1"/>
      <c r="B320" s="1"/>
      <c r="C320" s="27"/>
      <c r="D320" s="31"/>
      <c r="F320" s="30"/>
      <c r="G320" s="30"/>
      <c r="I320" s="30"/>
    </row>
    <row r="321" spans="1:9">
      <c r="A321" s="1"/>
      <c r="B321" s="1"/>
      <c r="C321" s="27"/>
      <c r="D321" s="31"/>
      <c r="F321" s="30"/>
      <c r="G321" s="30"/>
      <c r="I321" s="30"/>
    </row>
    <row r="322" spans="1:9">
      <c r="A322" s="1"/>
      <c r="B322" s="1"/>
      <c r="C322" s="27"/>
      <c r="D322" s="31"/>
      <c r="F322" s="30"/>
      <c r="G322" s="30"/>
      <c r="I322" s="30"/>
    </row>
    <row r="323" spans="1:9">
      <c r="A323" s="1"/>
      <c r="B323" s="1"/>
      <c r="C323" s="27"/>
      <c r="D323" s="31"/>
      <c r="F323" s="30"/>
      <c r="G323" s="30"/>
      <c r="I323" s="30"/>
    </row>
    <row r="324" spans="1:9">
      <c r="A324" s="1"/>
      <c r="B324" s="1"/>
      <c r="C324" s="27"/>
      <c r="D324" s="31"/>
      <c r="F324" s="30"/>
      <c r="G324" s="30"/>
      <c r="I324" s="30"/>
    </row>
    <row r="325" spans="1:9">
      <c r="A325" s="1"/>
      <c r="B325" s="1"/>
      <c r="C325" s="27"/>
      <c r="D325" s="31"/>
      <c r="F325" s="30"/>
      <c r="G325" s="30"/>
      <c r="I325" s="30"/>
    </row>
    <row r="326" spans="1:9">
      <c r="A326" s="1"/>
      <c r="B326" s="1"/>
      <c r="C326" s="27"/>
      <c r="D326" s="31"/>
      <c r="F326" s="30"/>
      <c r="G326" s="30"/>
      <c r="I326" s="30"/>
    </row>
    <row r="327" spans="1:9">
      <c r="A327" s="1"/>
      <c r="B327" s="1"/>
      <c r="C327" s="27"/>
      <c r="D327" s="31"/>
      <c r="F327" s="30"/>
      <c r="G327" s="30"/>
      <c r="I327" s="30"/>
    </row>
    <row r="328" spans="1:9">
      <c r="A328" s="1"/>
      <c r="B328" s="1"/>
      <c r="C328" s="27"/>
      <c r="D328" s="31"/>
      <c r="F328" s="30"/>
      <c r="G328" s="30"/>
      <c r="I328" s="30"/>
    </row>
    <row r="329" spans="1:9">
      <c r="A329" s="1"/>
      <c r="B329" s="1"/>
      <c r="C329" s="27"/>
      <c r="D329" s="31"/>
      <c r="F329" s="30"/>
      <c r="G329" s="30"/>
      <c r="I329" s="30"/>
    </row>
    <row r="330" spans="1:9">
      <c r="A330" s="1"/>
      <c r="B330" s="1"/>
      <c r="C330" s="27"/>
      <c r="D330" s="31"/>
      <c r="F330" s="30"/>
      <c r="G330" s="30"/>
      <c r="I330" s="30"/>
    </row>
    <row r="331" spans="1:9">
      <c r="A331" s="1"/>
      <c r="B331" s="1"/>
      <c r="C331" s="27"/>
      <c r="D331" s="31"/>
      <c r="F331" s="30"/>
      <c r="G331" s="30"/>
      <c r="I331" s="30"/>
    </row>
    <row r="332" spans="1:9">
      <c r="A332" s="1"/>
      <c r="B332" s="1"/>
      <c r="C332" s="27"/>
      <c r="D332" s="31"/>
      <c r="F332" s="30"/>
      <c r="G332" s="30"/>
      <c r="I332" s="30"/>
    </row>
    <row r="333" spans="1:9">
      <c r="A333" s="1"/>
      <c r="B333" s="1"/>
      <c r="C333" s="27"/>
      <c r="D333" s="31"/>
      <c r="F333" s="30"/>
      <c r="G333" s="30"/>
      <c r="I333" s="30"/>
    </row>
    <row r="334" spans="1:9">
      <c r="A334" s="1"/>
      <c r="B334" s="1"/>
      <c r="C334" s="27"/>
      <c r="D334" s="31"/>
      <c r="F334" s="30"/>
      <c r="G334" s="30"/>
      <c r="I334" s="30"/>
    </row>
    <row r="335" spans="1:9">
      <c r="A335" s="1"/>
      <c r="B335" s="1"/>
      <c r="C335" s="27"/>
      <c r="D335" s="31"/>
      <c r="F335" s="30"/>
      <c r="G335" s="30"/>
      <c r="I335" s="30"/>
    </row>
    <row r="336" spans="1:9">
      <c r="A336" s="1"/>
      <c r="B336" s="1"/>
      <c r="C336" s="27"/>
      <c r="D336" s="31"/>
      <c r="F336" s="30"/>
      <c r="G336" s="30"/>
      <c r="I336" s="30"/>
    </row>
    <row r="337" spans="1:9">
      <c r="A337" s="1"/>
      <c r="B337" s="1"/>
      <c r="C337" s="27"/>
      <c r="D337" s="31"/>
      <c r="F337" s="30"/>
      <c r="G337" s="30"/>
      <c r="I337" s="30"/>
    </row>
    <row r="338" spans="1:9">
      <c r="A338" s="1"/>
      <c r="B338" s="1"/>
      <c r="C338" s="27"/>
      <c r="D338" s="31"/>
      <c r="F338" s="30"/>
      <c r="G338" s="30"/>
      <c r="I338" s="30"/>
    </row>
    <row r="339" spans="1:9">
      <c r="A339" s="1"/>
      <c r="B339" s="1"/>
      <c r="C339" s="27"/>
      <c r="D339" s="31"/>
      <c r="F339" s="30"/>
      <c r="G339" s="30"/>
      <c r="I339" s="30"/>
    </row>
    <row r="340" spans="1:9">
      <c r="A340" s="1"/>
      <c r="B340" s="1"/>
      <c r="C340" s="27"/>
      <c r="D340" s="31"/>
      <c r="F340" s="30"/>
      <c r="G340" s="30"/>
      <c r="I340" s="30"/>
    </row>
    <row r="341" spans="1:9">
      <c r="A341" s="1"/>
      <c r="B341" s="1"/>
      <c r="C341" s="27"/>
      <c r="D341" s="31"/>
      <c r="F341" s="30"/>
      <c r="G341" s="30"/>
      <c r="I341" s="30"/>
    </row>
    <row r="342" spans="1:9">
      <c r="A342" s="1"/>
      <c r="B342" s="1"/>
      <c r="C342" s="27"/>
      <c r="D342" s="31"/>
      <c r="F342" s="30"/>
      <c r="G342" s="30"/>
      <c r="I342" s="30"/>
    </row>
    <row r="343" spans="1:9">
      <c r="A343" s="1"/>
      <c r="B343" s="1"/>
      <c r="C343" s="27"/>
      <c r="D343" s="31"/>
      <c r="F343" s="30"/>
      <c r="G343" s="30"/>
      <c r="I343" s="30"/>
    </row>
    <row r="344" spans="1:9">
      <c r="A344" s="1"/>
      <c r="B344" s="1"/>
      <c r="C344" s="27"/>
      <c r="D344" s="31"/>
      <c r="F344" s="30"/>
      <c r="G344" s="30"/>
      <c r="I344" s="30"/>
    </row>
    <row r="345" spans="1:9">
      <c r="A345" s="1"/>
      <c r="B345" s="1"/>
      <c r="C345" s="27"/>
      <c r="D345" s="31"/>
      <c r="F345" s="30"/>
      <c r="G345" s="30"/>
      <c r="I345" s="30"/>
    </row>
    <row r="346" spans="1:9">
      <c r="A346" s="1"/>
      <c r="B346" s="1"/>
      <c r="C346" s="27"/>
      <c r="D346" s="31"/>
      <c r="F346" s="30"/>
      <c r="G346" s="30"/>
      <c r="I346" s="30"/>
    </row>
    <row r="347" spans="1:9">
      <c r="A347" s="1"/>
      <c r="B347" s="1"/>
      <c r="C347" s="27"/>
      <c r="D347" s="31"/>
      <c r="F347" s="30"/>
      <c r="G347" s="30"/>
      <c r="I347" s="30"/>
    </row>
    <row r="348" spans="1:9">
      <c r="A348" s="1"/>
      <c r="B348" s="1"/>
      <c r="C348" s="27"/>
      <c r="D348" s="31"/>
      <c r="F348" s="30"/>
      <c r="G348" s="30"/>
      <c r="I348" s="30"/>
    </row>
    <row r="349" spans="1:9">
      <c r="A349" s="1"/>
      <c r="B349" s="1"/>
      <c r="C349" s="27"/>
      <c r="D349" s="31"/>
      <c r="F349" s="30"/>
      <c r="G349" s="30"/>
      <c r="I349" s="30"/>
    </row>
    <row r="350" spans="1:9">
      <c r="A350" s="1"/>
      <c r="B350" s="1"/>
      <c r="C350" s="27"/>
      <c r="D350" s="31"/>
      <c r="F350" s="30"/>
      <c r="G350" s="30"/>
      <c r="I350" s="30"/>
    </row>
    <row r="351" spans="1:9">
      <c r="A351" s="1"/>
      <c r="B351" s="1"/>
      <c r="C351" s="27"/>
      <c r="D351" s="31"/>
      <c r="F351" s="30"/>
      <c r="G351" s="30"/>
      <c r="I351" s="30"/>
    </row>
    <row r="352" spans="1:9">
      <c r="A352" s="1"/>
      <c r="B352" s="1"/>
      <c r="C352" s="27"/>
      <c r="D352" s="31"/>
      <c r="F352" s="30"/>
      <c r="G352" s="30"/>
      <c r="I352" s="30"/>
    </row>
    <row r="353" spans="1:9">
      <c r="A353" s="1"/>
      <c r="B353" s="1"/>
      <c r="C353" s="27"/>
      <c r="D353" s="31"/>
      <c r="F353" s="30"/>
      <c r="G353" s="30"/>
      <c r="I353" s="30"/>
    </row>
    <row r="354" spans="1:9">
      <c r="A354" s="1"/>
      <c r="B354" s="1"/>
      <c r="C354" s="27"/>
      <c r="D354" s="31"/>
      <c r="F354" s="30"/>
      <c r="G354" s="30"/>
      <c r="I354" s="30"/>
    </row>
    <row r="355" spans="1:9">
      <c r="A355" s="1"/>
      <c r="B355" s="1"/>
      <c r="C355" s="27"/>
      <c r="D355" s="31"/>
      <c r="F355" s="30"/>
      <c r="G355" s="30"/>
      <c r="I355" s="30"/>
    </row>
    <row r="356" spans="1:9">
      <c r="A356" s="1"/>
      <c r="B356" s="1"/>
      <c r="C356" s="27"/>
      <c r="D356" s="31"/>
      <c r="F356" s="30"/>
      <c r="G356" s="30"/>
      <c r="I356" s="30"/>
    </row>
    <row r="357" spans="1:9">
      <c r="A357" s="1"/>
      <c r="B357" s="1"/>
      <c r="C357" s="27"/>
      <c r="D357" s="31"/>
      <c r="F357" s="30"/>
      <c r="G357" s="30"/>
      <c r="I357" s="30"/>
    </row>
    <row r="358" spans="1:9">
      <c r="A358" s="1"/>
      <c r="B358" s="1"/>
      <c r="C358" s="27"/>
      <c r="D358" s="31"/>
      <c r="F358" s="30"/>
      <c r="G358" s="30"/>
      <c r="I358" s="30"/>
    </row>
    <row r="359" spans="1:9">
      <c r="A359" s="1"/>
      <c r="B359" s="1"/>
      <c r="C359" s="27"/>
      <c r="D359" s="31"/>
      <c r="F359" s="30"/>
      <c r="G359" s="30"/>
      <c r="I359" s="30"/>
    </row>
    <row r="360" spans="1:9">
      <c r="A360" s="1"/>
      <c r="B360" s="1"/>
      <c r="C360" s="27"/>
      <c r="D360" s="31"/>
      <c r="F360" s="30"/>
      <c r="G360" s="30"/>
      <c r="I360" s="30"/>
    </row>
    <row r="361" spans="1:9">
      <c r="A361" s="1"/>
      <c r="B361" s="1"/>
      <c r="C361" s="27"/>
      <c r="D361" s="31"/>
      <c r="F361" s="30"/>
      <c r="G361" s="30"/>
      <c r="I361" s="30"/>
    </row>
    <row r="362" spans="1:9">
      <c r="A362" s="1"/>
      <c r="B362" s="1"/>
      <c r="C362" s="27"/>
      <c r="D362" s="31"/>
      <c r="F362" s="30"/>
      <c r="G362" s="30"/>
      <c r="I362" s="30"/>
    </row>
    <row r="363" spans="1:9">
      <c r="A363" s="1"/>
      <c r="B363" s="1"/>
      <c r="C363" s="27"/>
      <c r="D363" s="31"/>
      <c r="F363" s="30"/>
      <c r="G363" s="30"/>
      <c r="I363" s="30"/>
    </row>
    <row r="364" spans="1:9">
      <c r="A364" s="1"/>
      <c r="B364" s="1"/>
      <c r="C364" s="27"/>
      <c r="D364" s="31"/>
      <c r="F364" s="30"/>
      <c r="G364" s="30"/>
      <c r="I364" s="30"/>
    </row>
    <row r="365" spans="1:9">
      <c r="A365" s="1"/>
      <c r="B365" s="1"/>
      <c r="C365" s="27"/>
      <c r="D365" s="31"/>
      <c r="F365" s="30"/>
      <c r="G365" s="30"/>
      <c r="I365" s="30"/>
    </row>
    <row r="366" spans="1:9">
      <c r="A366" s="1"/>
      <c r="B366" s="1"/>
      <c r="C366" s="27"/>
      <c r="D366" s="31"/>
      <c r="F366" s="30"/>
      <c r="G366" s="30"/>
      <c r="I366" s="30"/>
    </row>
    <row r="367" spans="1:9">
      <c r="A367" s="1"/>
      <c r="B367" s="1"/>
      <c r="C367" s="27"/>
      <c r="D367" s="31"/>
      <c r="F367" s="30"/>
      <c r="G367" s="30"/>
      <c r="I367" s="30"/>
    </row>
    <row r="368" spans="1:9">
      <c r="A368" s="1"/>
      <c r="B368" s="1"/>
      <c r="C368" s="27"/>
      <c r="D368" s="31"/>
      <c r="F368" s="30"/>
      <c r="G368" s="30"/>
      <c r="I368" s="30"/>
    </row>
    <row r="369" spans="1:9">
      <c r="A369" s="1"/>
      <c r="B369" s="1"/>
      <c r="C369" s="27"/>
      <c r="D369" s="31"/>
      <c r="F369" s="30"/>
      <c r="G369" s="30"/>
      <c r="I369" s="30"/>
    </row>
    <row r="370" spans="1:9">
      <c r="A370" s="1"/>
      <c r="B370" s="1"/>
      <c r="C370" s="27"/>
      <c r="D370" s="31"/>
      <c r="F370" s="30"/>
      <c r="G370" s="30"/>
      <c r="I370" s="30"/>
    </row>
    <row r="371" spans="1:9">
      <c r="A371" s="1"/>
      <c r="B371" s="1"/>
      <c r="C371" s="27"/>
      <c r="D371" s="31"/>
      <c r="F371" s="30"/>
      <c r="G371" s="30"/>
      <c r="I371" s="30"/>
    </row>
    <row r="372" spans="1:9">
      <c r="A372" s="1"/>
      <c r="B372" s="1"/>
      <c r="C372" s="27"/>
      <c r="D372" s="31"/>
      <c r="F372" s="30"/>
      <c r="G372" s="30"/>
      <c r="I372" s="30"/>
    </row>
    <row r="373" spans="1:9">
      <c r="A373" s="1"/>
      <c r="B373" s="1"/>
      <c r="C373" s="27"/>
      <c r="D373" s="31"/>
      <c r="F373" s="30"/>
      <c r="G373" s="30"/>
      <c r="I373" s="30"/>
    </row>
    <row r="374" spans="1:9">
      <c r="A374" s="1"/>
      <c r="B374" s="1"/>
      <c r="C374" s="27"/>
      <c r="D374" s="31"/>
      <c r="F374" s="30"/>
      <c r="G374" s="30"/>
      <c r="I374" s="30"/>
    </row>
    <row r="375" spans="1:9">
      <c r="A375" s="1"/>
      <c r="B375" s="1"/>
      <c r="C375" s="27"/>
      <c r="D375" s="31"/>
      <c r="F375" s="30"/>
      <c r="G375" s="30"/>
      <c r="I375" s="30"/>
    </row>
    <row r="376" spans="1:9">
      <c r="A376" s="1"/>
      <c r="B376" s="1"/>
      <c r="C376" s="27"/>
      <c r="D376" s="31"/>
      <c r="F376" s="30"/>
      <c r="G376" s="30"/>
      <c r="I376" s="30"/>
    </row>
    <row r="377" spans="1:9">
      <c r="A377" s="1"/>
      <c r="B377" s="1"/>
      <c r="C377" s="27"/>
      <c r="D377" s="31"/>
      <c r="F377" s="30"/>
      <c r="G377" s="30"/>
      <c r="I377" s="30"/>
    </row>
    <row r="378" spans="1:9">
      <c r="A378" s="1"/>
      <c r="B378" s="1"/>
      <c r="C378" s="27"/>
      <c r="D378" s="31"/>
      <c r="F378" s="30"/>
      <c r="G378" s="30"/>
      <c r="I378" s="30"/>
    </row>
    <row r="379" spans="1:9">
      <c r="A379" s="1"/>
      <c r="B379" s="1"/>
      <c r="C379" s="27"/>
      <c r="D379" s="31"/>
      <c r="F379" s="30"/>
      <c r="G379" s="30"/>
      <c r="I379" s="30"/>
    </row>
    <row r="380" spans="1:9">
      <c r="A380" s="1"/>
      <c r="B380" s="1"/>
      <c r="C380" s="27"/>
      <c r="D380" s="31"/>
      <c r="F380" s="30"/>
      <c r="G380" s="30"/>
      <c r="I380" s="30"/>
    </row>
    <row r="381" spans="1:9">
      <c r="A381" s="1"/>
      <c r="B381" s="1"/>
      <c r="C381" s="27"/>
      <c r="D381" s="31"/>
      <c r="F381" s="30"/>
      <c r="G381" s="30"/>
      <c r="I381" s="30"/>
    </row>
    <row r="382" spans="1:9">
      <c r="A382" s="1"/>
      <c r="B382" s="1"/>
      <c r="C382" s="27"/>
      <c r="D382" s="31"/>
      <c r="F382" s="30"/>
      <c r="G382" s="30"/>
      <c r="I382" s="30"/>
    </row>
    <row r="383" spans="1:9">
      <c r="A383" s="1"/>
      <c r="B383" s="1"/>
      <c r="C383" s="27"/>
      <c r="D383" s="31"/>
      <c r="F383" s="30"/>
      <c r="G383" s="30"/>
      <c r="I383" s="30"/>
    </row>
    <row r="384" spans="1:9">
      <c r="A384" s="1"/>
      <c r="B384" s="1"/>
      <c r="C384" s="27"/>
      <c r="D384" s="31"/>
      <c r="F384" s="30"/>
      <c r="G384" s="30"/>
      <c r="I384" s="30"/>
    </row>
    <row r="385" spans="1:9">
      <c r="A385" s="1"/>
      <c r="B385" s="1"/>
      <c r="C385" s="27"/>
      <c r="D385" s="31"/>
      <c r="F385" s="30"/>
      <c r="G385" s="30"/>
      <c r="I385" s="30"/>
    </row>
    <row r="386" spans="1:9">
      <c r="A386" s="1"/>
      <c r="B386" s="1"/>
      <c r="C386" s="27"/>
      <c r="D386" s="31"/>
      <c r="F386" s="30"/>
      <c r="G386" s="30"/>
      <c r="I386" s="30"/>
    </row>
    <row r="387" spans="1:9">
      <c r="A387" s="1"/>
      <c r="B387" s="1"/>
      <c r="C387" s="27"/>
      <c r="D387" s="31"/>
      <c r="F387" s="30"/>
      <c r="G387" s="30"/>
      <c r="I387" s="30"/>
    </row>
    <row r="388" spans="1:9">
      <c r="A388" s="1"/>
      <c r="B388" s="1"/>
      <c r="C388" s="27"/>
      <c r="D388" s="31"/>
      <c r="F388" s="30"/>
      <c r="G388" s="30"/>
      <c r="I388" s="30"/>
    </row>
    <row r="389" spans="1:9">
      <c r="A389" s="1"/>
      <c r="B389" s="1"/>
      <c r="C389" s="27"/>
      <c r="D389" s="31"/>
      <c r="F389" s="30"/>
      <c r="G389" s="30"/>
      <c r="I389" s="30"/>
    </row>
    <row r="390" spans="1:9">
      <c r="A390" s="1"/>
      <c r="B390" s="1"/>
      <c r="C390" s="27"/>
      <c r="D390" s="31"/>
      <c r="F390" s="30"/>
      <c r="G390" s="30"/>
      <c r="I390" s="30"/>
    </row>
    <row r="391" spans="1:9">
      <c r="A391" s="1"/>
      <c r="B391" s="1"/>
      <c r="C391" s="27"/>
      <c r="D391" s="31"/>
      <c r="F391" s="30"/>
      <c r="G391" s="30"/>
      <c r="I391" s="30"/>
    </row>
    <row r="392" spans="1:9">
      <c r="A392" s="1"/>
      <c r="B392" s="1"/>
      <c r="C392" s="27"/>
      <c r="D392" s="31"/>
      <c r="F392" s="30"/>
      <c r="G392" s="30"/>
      <c r="I392" s="30"/>
    </row>
    <row r="393" spans="1:9">
      <c r="A393" s="1"/>
      <c r="B393" s="1"/>
      <c r="C393" s="27"/>
      <c r="D393" s="31"/>
      <c r="F393" s="30"/>
      <c r="G393" s="30"/>
      <c r="I393" s="30"/>
    </row>
    <row r="394" spans="1:9">
      <c r="A394" s="1"/>
      <c r="B394" s="1"/>
      <c r="C394" s="27"/>
      <c r="D394" s="31"/>
      <c r="F394" s="30"/>
      <c r="G394" s="30"/>
      <c r="I394" s="30"/>
    </row>
    <row r="395" spans="1:9">
      <c r="A395" s="1"/>
      <c r="B395" s="1"/>
      <c r="C395" s="27"/>
      <c r="D395" s="31"/>
      <c r="F395" s="30"/>
      <c r="G395" s="30"/>
      <c r="I395" s="30"/>
    </row>
    <row r="396" spans="1:9">
      <c r="A396" s="1"/>
      <c r="B396" s="1"/>
      <c r="C396" s="32"/>
      <c r="D396" s="33"/>
      <c r="F396" s="30"/>
      <c r="G396" s="30"/>
      <c r="I396" s="30"/>
    </row>
    <row r="397" spans="1:9">
      <c r="A397" s="1"/>
      <c r="B397" s="1"/>
      <c r="C397" s="32"/>
      <c r="D397" s="33"/>
      <c r="F397" s="30"/>
      <c r="G397" s="30"/>
      <c r="I397" s="30"/>
    </row>
    <row r="398" spans="1:9">
      <c r="A398" s="1"/>
      <c r="B398" s="1"/>
      <c r="C398" s="32"/>
      <c r="D398" s="33"/>
      <c r="F398" s="30"/>
      <c r="G398" s="30"/>
      <c r="I398" s="30"/>
    </row>
    <row r="399" spans="1:9">
      <c r="A399" s="1"/>
      <c r="B399" s="1"/>
      <c r="C399" s="32"/>
      <c r="D399" s="33"/>
      <c r="F399" s="30"/>
      <c r="G399" s="30"/>
      <c r="I399" s="30"/>
    </row>
    <row r="400" spans="1:9">
      <c r="A400" s="1"/>
      <c r="B400" s="1"/>
      <c r="C400" s="32"/>
      <c r="D400" s="33"/>
      <c r="F400" s="30"/>
      <c r="G400" s="30"/>
      <c r="I400" s="30"/>
    </row>
    <row r="401" spans="1:9">
      <c r="A401" s="1"/>
      <c r="B401" s="1"/>
      <c r="C401" s="32"/>
      <c r="D401" s="33"/>
      <c r="F401" s="30"/>
      <c r="G401" s="30"/>
      <c r="I401" s="30"/>
    </row>
    <row r="402" spans="1:9">
      <c r="A402" s="1"/>
      <c r="B402" s="1"/>
      <c r="C402" s="32"/>
      <c r="D402" s="33"/>
      <c r="F402" s="30"/>
      <c r="G402" s="30"/>
      <c r="I402" s="30"/>
    </row>
    <row r="403" spans="1:9">
      <c r="A403" s="1"/>
      <c r="B403" s="1"/>
      <c r="C403" s="32"/>
      <c r="D403" s="33"/>
      <c r="F403" s="30"/>
      <c r="G403" s="30"/>
      <c r="I403" s="30"/>
    </row>
    <row r="404" spans="1:9">
      <c r="A404" s="1"/>
      <c r="B404" s="1"/>
      <c r="C404" s="32"/>
      <c r="D404" s="33"/>
      <c r="F404" s="30"/>
      <c r="G404" s="30"/>
      <c r="I404" s="30"/>
    </row>
    <row r="405" spans="1:9">
      <c r="A405" s="1"/>
      <c r="B405" s="1"/>
      <c r="C405" s="27"/>
      <c r="D405" s="31"/>
      <c r="F405" s="30"/>
      <c r="G405" s="30"/>
      <c r="I405" s="30"/>
    </row>
    <row r="406" spans="1:9">
      <c r="A406" s="1"/>
      <c r="B406" s="1"/>
      <c r="C406" s="27"/>
      <c r="D406" s="31"/>
      <c r="F406" s="30"/>
      <c r="G406" s="30"/>
      <c r="I406" s="30"/>
    </row>
    <row r="407" spans="1:9">
      <c r="A407" s="1"/>
      <c r="B407" s="1"/>
      <c r="C407" s="27"/>
      <c r="D407" s="31"/>
      <c r="F407" s="30"/>
      <c r="G407" s="30"/>
      <c r="I407" s="30"/>
    </row>
    <row r="408" spans="1:9">
      <c r="A408" s="1"/>
      <c r="B408" s="1"/>
      <c r="C408" s="27"/>
      <c r="D408" s="31"/>
      <c r="F408" s="30"/>
      <c r="G408" s="30"/>
      <c r="I408" s="30"/>
    </row>
    <row r="409" spans="1:9">
      <c r="A409" s="1"/>
      <c r="B409" s="1"/>
      <c r="C409" s="27"/>
      <c r="D409" s="31"/>
      <c r="F409" s="30"/>
      <c r="G409" s="30"/>
      <c r="I409" s="30"/>
    </row>
    <row r="410" spans="1:9">
      <c r="A410" s="1"/>
      <c r="B410" s="1"/>
      <c r="C410" s="27"/>
      <c r="D410" s="31"/>
      <c r="F410" s="30"/>
      <c r="G410" s="30"/>
      <c r="I410" s="30"/>
    </row>
    <row r="411" spans="1:9">
      <c r="A411" s="1"/>
      <c r="B411" s="1"/>
      <c r="C411" s="27"/>
      <c r="D411" s="31"/>
      <c r="F411" s="30"/>
      <c r="G411" s="30"/>
      <c r="I411" s="30"/>
    </row>
    <row r="412" spans="1:9">
      <c r="A412" s="1"/>
      <c r="B412" s="1"/>
      <c r="C412" s="27"/>
      <c r="D412" s="31"/>
      <c r="F412" s="30"/>
      <c r="G412" s="30"/>
      <c r="I412" s="30"/>
    </row>
    <row r="413" spans="1:9">
      <c r="A413" s="1"/>
      <c r="B413" s="1"/>
      <c r="C413" s="27"/>
      <c r="D413" s="31"/>
      <c r="F413" s="30"/>
      <c r="G413" s="30"/>
      <c r="I413" s="30"/>
    </row>
    <row r="414" spans="1:9">
      <c r="A414" s="1"/>
      <c r="B414" s="1"/>
      <c r="C414" s="27"/>
      <c r="D414" s="31"/>
      <c r="F414" s="30"/>
      <c r="G414" s="30"/>
      <c r="I414" s="30"/>
    </row>
    <row r="415" spans="1:9">
      <c r="A415" s="1"/>
      <c r="B415" s="1"/>
      <c r="C415" s="27"/>
      <c r="D415" s="31"/>
      <c r="F415" s="30"/>
      <c r="G415" s="30"/>
      <c r="I415" s="30"/>
    </row>
    <row r="416" spans="1:9">
      <c r="A416" s="1"/>
      <c r="B416" s="1"/>
      <c r="C416" s="27"/>
      <c r="D416" s="31"/>
      <c r="F416" s="30"/>
      <c r="G416" s="30"/>
      <c r="I416" s="30"/>
    </row>
    <row r="417" spans="1:9">
      <c r="A417" s="1"/>
      <c r="B417" s="1"/>
      <c r="C417" s="27"/>
      <c r="D417" s="31"/>
      <c r="F417" s="30"/>
      <c r="G417" s="30"/>
      <c r="I417" s="30"/>
    </row>
    <row r="418" spans="1:9">
      <c r="A418" s="1"/>
      <c r="B418" s="1"/>
      <c r="C418" s="27"/>
      <c r="D418" s="31"/>
      <c r="F418" s="30"/>
      <c r="G418" s="30"/>
      <c r="I418" s="30"/>
    </row>
    <row r="419" spans="1:9">
      <c r="A419" s="1"/>
      <c r="B419" s="1"/>
      <c r="C419" s="27"/>
      <c r="D419" s="31"/>
      <c r="F419" s="30"/>
      <c r="G419" s="30"/>
      <c r="I419" s="30"/>
    </row>
    <row r="420" spans="1:9">
      <c r="A420" s="1"/>
      <c r="B420" s="1"/>
      <c r="C420" s="27"/>
      <c r="D420" s="31"/>
      <c r="F420" s="30"/>
      <c r="G420" s="30"/>
      <c r="I420" s="30"/>
    </row>
    <row r="421" spans="1:9">
      <c r="A421" s="1"/>
      <c r="B421" s="1"/>
      <c r="C421" s="27"/>
      <c r="D421" s="31"/>
      <c r="F421" s="30"/>
      <c r="G421" s="30"/>
      <c r="I421" s="30"/>
    </row>
    <row r="422" spans="1:9">
      <c r="A422" s="1"/>
      <c r="B422" s="1"/>
      <c r="C422" s="27"/>
      <c r="D422" s="31"/>
      <c r="F422" s="30"/>
      <c r="G422" s="30"/>
      <c r="I422" s="30"/>
    </row>
    <row r="423" spans="1:9">
      <c r="A423" s="1"/>
      <c r="B423" s="1"/>
      <c r="C423" s="27"/>
      <c r="D423" s="31"/>
      <c r="F423" s="30"/>
      <c r="G423" s="30"/>
      <c r="I423" s="30"/>
    </row>
    <row r="424" spans="1:9">
      <c r="A424" s="1"/>
      <c r="B424" s="1"/>
      <c r="C424" s="27"/>
      <c r="D424" s="31"/>
      <c r="F424" s="30"/>
      <c r="G424" s="30"/>
      <c r="I424" s="30"/>
    </row>
    <row r="425" spans="1:9">
      <c r="A425" s="1"/>
      <c r="B425" s="1"/>
      <c r="C425" s="27"/>
      <c r="D425" s="31"/>
      <c r="F425" s="30"/>
      <c r="G425" s="30"/>
      <c r="I425" s="30"/>
    </row>
    <row r="426" spans="1:9">
      <c r="A426" s="1"/>
      <c r="B426" s="1"/>
      <c r="C426" s="27"/>
      <c r="D426" s="31"/>
      <c r="F426" s="30"/>
      <c r="G426" s="30"/>
      <c r="I426" s="30"/>
    </row>
    <row r="427" spans="1:9">
      <c r="A427" s="1"/>
      <c r="B427" s="1"/>
      <c r="C427" s="27"/>
      <c r="D427" s="31"/>
      <c r="F427" s="30"/>
      <c r="G427" s="30"/>
      <c r="I427" s="30"/>
    </row>
    <row r="428" spans="1:9">
      <c r="A428" s="1"/>
      <c r="B428" s="1"/>
      <c r="C428" s="27"/>
      <c r="D428" s="31"/>
      <c r="F428" s="30"/>
      <c r="G428" s="30"/>
      <c r="I428" s="30"/>
    </row>
    <row r="429" spans="1:9">
      <c r="A429" s="1"/>
      <c r="B429" s="1"/>
      <c r="C429" s="27"/>
      <c r="D429" s="31"/>
      <c r="F429" s="30"/>
      <c r="G429" s="30"/>
      <c r="I429" s="30"/>
    </row>
    <row r="430" spans="1:9">
      <c r="A430" s="1"/>
      <c r="B430" s="1"/>
      <c r="C430" s="27"/>
      <c r="D430" s="31"/>
      <c r="F430" s="30"/>
      <c r="G430" s="30"/>
      <c r="I430" s="30"/>
    </row>
    <row r="431" spans="1:9">
      <c r="A431" s="1"/>
      <c r="B431" s="1"/>
      <c r="C431" s="27"/>
      <c r="D431" s="31"/>
      <c r="F431" s="30"/>
      <c r="G431" s="30"/>
      <c r="I431" s="30"/>
    </row>
    <row r="432" spans="1:9">
      <c r="A432" s="1"/>
      <c r="B432" s="1"/>
      <c r="C432" s="27"/>
      <c r="D432" s="31"/>
      <c r="F432" s="30"/>
      <c r="G432" s="30"/>
      <c r="I432" s="30"/>
    </row>
    <row r="433" spans="1:9">
      <c r="A433" s="1"/>
      <c r="B433" s="1"/>
      <c r="C433" s="27"/>
      <c r="D433" s="31"/>
      <c r="F433" s="30"/>
      <c r="G433" s="30"/>
      <c r="I433" s="30"/>
    </row>
    <row r="434" spans="1:9">
      <c r="A434" s="1"/>
      <c r="B434" s="1"/>
      <c r="C434" s="27"/>
      <c r="D434" s="31"/>
      <c r="F434" s="30"/>
      <c r="G434" s="30"/>
      <c r="I434" s="30"/>
    </row>
    <row r="435" spans="1:9">
      <c r="A435" s="1"/>
      <c r="B435" s="1"/>
      <c r="C435" s="27"/>
      <c r="D435" s="31"/>
      <c r="F435" s="30"/>
      <c r="G435" s="30"/>
      <c r="I435" s="30"/>
    </row>
    <row r="436" spans="1:9">
      <c r="A436" s="1"/>
      <c r="B436" s="1"/>
      <c r="C436" s="27"/>
      <c r="D436" s="31"/>
      <c r="F436" s="30"/>
      <c r="G436" s="30"/>
      <c r="I436" s="30"/>
    </row>
    <row r="437" spans="1:9">
      <c r="A437" s="1"/>
      <c r="B437" s="1"/>
      <c r="C437" s="27"/>
      <c r="D437" s="31"/>
      <c r="F437" s="30"/>
      <c r="G437" s="30"/>
      <c r="I437" s="30"/>
    </row>
    <row r="438" spans="1:9">
      <c r="A438" s="1"/>
      <c r="B438" s="1"/>
      <c r="C438" s="27"/>
      <c r="D438" s="31"/>
      <c r="F438" s="30"/>
      <c r="G438" s="30"/>
      <c r="I438" s="30"/>
    </row>
    <row r="439" spans="1:9">
      <c r="A439" s="1"/>
      <c r="B439" s="1"/>
      <c r="C439" s="27"/>
      <c r="D439" s="31"/>
      <c r="F439" s="30"/>
      <c r="G439" s="30"/>
      <c r="I439" s="30"/>
    </row>
    <row r="440" spans="1:9">
      <c r="A440" s="1"/>
      <c r="B440" s="1"/>
      <c r="C440" s="27"/>
      <c r="D440" s="31"/>
      <c r="F440" s="30"/>
      <c r="G440" s="30"/>
      <c r="I440" s="30"/>
    </row>
    <row r="441" spans="1:9">
      <c r="A441" s="1"/>
      <c r="B441" s="1"/>
      <c r="C441" s="27"/>
      <c r="D441" s="31"/>
      <c r="F441" s="30"/>
      <c r="G441" s="30"/>
      <c r="I441" s="30"/>
    </row>
    <row r="442" spans="1:9">
      <c r="A442" s="1"/>
      <c r="B442" s="1"/>
      <c r="C442" s="27"/>
      <c r="D442" s="31"/>
      <c r="F442" s="30"/>
      <c r="G442" s="30"/>
      <c r="I442" s="30"/>
    </row>
    <row r="443" spans="1:9">
      <c r="A443" s="1"/>
      <c r="B443" s="1"/>
      <c r="C443" s="27"/>
      <c r="D443" s="31"/>
      <c r="F443" s="30"/>
      <c r="G443" s="30"/>
      <c r="I443" s="30"/>
    </row>
    <row r="444" spans="1:9">
      <c r="A444" s="1"/>
      <c r="B444" s="1"/>
      <c r="C444" s="27"/>
      <c r="D444" s="31"/>
      <c r="F444" s="30"/>
      <c r="G444" s="30"/>
      <c r="I444" s="30"/>
    </row>
    <row r="445" spans="1:9">
      <c r="A445" s="1"/>
      <c r="B445" s="1"/>
      <c r="C445" s="27"/>
      <c r="D445" s="31"/>
      <c r="F445" s="30"/>
      <c r="G445" s="30"/>
      <c r="I445" s="30"/>
    </row>
    <row r="446" spans="1:9">
      <c r="A446" s="1"/>
      <c r="B446" s="1"/>
      <c r="C446" s="27"/>
      <c r="D446" s="31"/>
      <c r="F446" s="30"/>
      <c r="G446" s="30"/>
      <c r="I446" s="30"/>
    </row>
    <row r="447" spans="1:9">
      <c r="A447" s="1"/>
      <c r="B447" s="1"/>
      <c r="C447" s="27"/>
      <c r="D447" s="31"/>
      <c r="F447" s="30"/>
      <c r="G447" s="30"/>
      <c r="I447" s="30"/>
    </row>
    <row r="448" spans="1:9">
      <c r="A448" s="1"/>
      <c r="B448" s="1"/>
      <c r="C448" s="27"/>
      <c r="D448" s="31"/>
      <c r="F448" s="30"/>
      <c r="G448" s="30"/>
      <c r="I448" s="30"/>
    </row>
    <row r="449" spans="1:9">
      <c r="A449" s="1"/>
      <c r="B449" s="1"/>
      <c r="C449" s="27"/>
      <c r="D449" s="31"/>
      <c r="F449" s="30"/>
      <c r="G449" s="30"/>
      <c r="I449" s="30"/>
    </row>
    <row r="450" spans="1:9">
      <c r="A450" s="1"/>
      <c r="B450" s="1"/>
      <c r="C450" s="27"/>
      <c r="D450" s="31"/>
      <c r="F450" s="30"/>
      <c r="G450" s="30"/>
      <c r="I450" s="30"/>
    </row>
    <row r="451" spans="1:9">
      <c r="A451" s="1"/>
      <c r="B451" s="1"/>
      <c r="C451" s="27"/>
      <c r="D451" s="31"/>
      <c r="F451" s="30"/>
      <c r="G451" s="30"/>
      <c r="I451" s="30"/>
    </row>
    <row r="452" spans="1:9">
      <c r="A452" s="1"/>
      <c r="B452" s="1"/>
      <c r="C452" s="27"/>
      <c r="D452" s="31"/>
      <c r="F452" s="30"/>
      <c r="G452" s="30"/>
      <c r="I452" s="30"/>
    </row>
    <row r="453" spans="1:9">
      <c r="A453" s="1"/>
      <c r="B453" s="1"/>
      <c r="C453" s="27"/>
      <c r="D453" s="31"/>
      <c r="F453" s="30"/>
      <c r="G453" s="30"/>
      <c r="I453" s="30"/>
    </row>
    <row r="454" spans="1:9">
      <c r="A454" s="1"/>
      <c r="B454" s="1"/>
      <c r="C454" s="27"/>
      <c r="D454" s="31"/>
      <c r="F454" s="30"/>
      <c r="G454" s="30"/>
      <c r="I454" s="30"/>
    </row>
    <row r="455" spans="1:9">
      <c r="A455" s="1"/>
      <c r="B455" s="1"/>
      <c r="C455" s="27"/>
      <c r="D455" s="31"/>
      <c r="F455" s="30"/>
      <c r="G455" s="30"/>
      <c r="I455" s="30"/>
    </row>
    <row r="456" spans="1:9">
      <c r="A456" s="1"/>
      <c r="B456" s="1"/>
      <c r="C456" s="27"/>
      <c r="D456" s="31"/>
      <c r="F456" s="30"/>
      <c r="G456" s="30"/>
      <c r="I456" s="30"/>
    </row>
    <row r="457" spans="1:9">
      <c r="A457" s="1"/>
      <c r="B457" s="1"/>
      <c r="C457" s="27"/>
      <c r="D457" s="31"/>
      <c r="F457" s="30"/>
      <c r="G457" s="30"/>
      <c r="I457" s="30"/>
    </row>
    <row r="458" spans="1:9">
      <c r="A458" s="1"/>
      <c r="B458" s="1"/>
      <c r="C458" s="27"/>
      <c r="D458" s="31"/>
      <c r="F458" s="30"/>
      <c r="G458" s="30"/>
      <c r="I458" s="30"/>
    </row>
    <row r="459" spans="1:9">
      <c r="A459" s="1"/>
      <c r="B459" s="1"/>
      <c r="C459" s="27"/>
      <c r="D459" s="31"/>
      <c r="F459" s="30"/>
      <c r="G459" s="30"/>
      <c r="I459" s="30"/>
    </row>
    <row r="460" spans="1:9">
      <c r="A460" s="1"/>
      <c r="B460" s="1"/>
      <c r="C460" s="27"/>
      <c r="D460" s="31"/>
      <c r="F460" s="30"/>
      <c r="G460" s="30"/>
      <c r="I460" s="30"/>
    </row>
    <row r="461" spans="1:9">
      <c r="A461" s="1"/>
      <c r="B461" s="1"/>
      <c r="C461" s="27"/>
      <c r="D461" s="31"/>
      <c r="F461" s="30"/>
      <c r="G461" s="30"/>
      <c r="I461" s="30"/>
    </row>
    <row r="462" spans="1:9">
      <c r="A462" s="1"/>
      <c r="B462" s="1"/>
      <c r="C462" s="27"/>
      <c r="D462" s="31"/>
      <c r="F462" s="30"/>
      <c r="G462" s="30"/>
      <c r="I462" s="30"/>
    </row>
    <row r="463" spans="1:9">
      <c r="A463" s="1"/>
      <c r="B463" s="1"/>
      <c r="C463" s="27"/>
      <c r="D463" s="31"/>
      <c r="F463" s="30"/>
      <c r="G463" s="30"/>
      <c r="I463" s="30"/>
    </row>
    <row r="464" spans="1:9">
      <c r="A464" s="1"/>
      <c r="B464" s="1"/>
      <c r="C464" s="27"/>
      <c r="D464" s="31"/>
      <c r="F464" s="30"/>
      <c r="G464" s="30"/>
      <c r="I464" s="30"/>
    </row>
    <row r="465" spans="1:9">
      <c r="A465" s="1"/>
      <c r="B465" s="1"/>
      <c r="C465" s="27"/>
      <c r="D465" s="31"/>
      <c r="F465" s="30"/>
      <c r="G465" s="30"/>
      <c r="I465" s="30"/>
    </row>
    <row r="466" spans="1:9">
      <c r="A466" s="1"/>
      <c r="B466" s="1"/>
      <c r="C466" s="27"/>
      <c r="D466" s="31"/>
      <c r="F466" s="30"/>
      <c r="G466" s="30"/>
      <c r="I466" s="30"/>
    </row>
    <row r="467" spans="1:9">
      <c r="A467" s="1"/>
      <c r="B467" s="1"/>
      <c r="C467" s="27"/>
      <c r="D467" s="31"/>
      <c r="F467" s="30"/>
      <c r="G467" s="30"/>
      <c r="I467" s="30"/>
    </row>
    <row r="468" spans="1:9">
      <c r="A468" s="1"/>
      <c r="B468" s="1"/>
      <c r="C468" s="27"/>
      <c r="D468" s="31"/>
      <c r="F468" s="30"/>
      <c r="G468" s="30"/>
      <c r="I468" s="30"/>
    </row>
    <row r="469" spans="1:9">
      <c r="A469" s="1"/>
      <c r="B469" s="1"/>
      <c r="C469" s="27"/>
      <c r="D469" s="31"/>
      <c r="F469" s="30"/>
      <c r="G469" s="30"/>
      <c r="I469" s="30"/>
    </row>
    <row r="470" spans="1:9">
      <c r="A470" s="1"/>
      <c r="B470" s="1"/>
      <c r="C470" s="27"/>
      <c r="D470" s="31"/>
      <c r="F470" s="30"/>
      <c r="G470" s="30"/>
      <c r="I470" s="30"/>
    </row>
    <row r="471" spans="1:9">
      <c r="A471" s="1"/>
      <c r="B471" s="1"/>
      <c r="C471" s="27"/>
      <c r="D471" s="31"/>
      <c r="F471" s="30"/>
      <c r="G471" s="30"/>
      <c r="I471" s="30"/>
    </row>
    <row r="472" spans="1:9">
      <c r="A472" s="1"/>
      <c r="B472" s="1"/>
      <c r="C472" s="27"/>
      <c r="D472" s="31"/>
      <c r="F472" s="30"/>
      <c r="G472" s="30"/>
      <c r="I472" s="30"/>
    </row>
    <row r="473" spans="1:9">
      <c r="A473" s="1"/>
      <c r="B473" s="1"/>
      <c r="C473" s="27"/>
      <c r="D473" s="31"/>
      <c r="F473" s="30"/>
      <c r="G473" s="30"/>
      <c r="I473" s="30"/>
    </row>
    <row r="474" spans="1:9">
      <c r="A474" s="1"/>
      <c r="B474" s="1"/>
      <c r="C474" s="27"/>
      <c r="D474" s="31"/>
      <c r="F474" s="30"/>
      <c r="G474" s="30"/>
      <c r="I474" s="30"/>
    </row>
    <row r="475" spans="1:9">
      <c r="A475" s="1"/>
      <c r="B475" s="1"/>
      <c r="C475" s="27"/>
      <c r="D475" s="31"/>
      <c r="F475" s="30"/>
      <c r="G475" s="30"/>
      <c r="I475" s="30"/>
    </row>
    <row r="476" spans="1:9">
      <c r="A476" s="1"/>
      <c r="B476" s="1"/>
      <c r="C476" s="27"/>
      <c r="D476" s="31"/>
      <c r="F476" s="30"/>
      <c r="G476" s="30"/>
      <c r="I476" s="30"/>
    </row>
    <row r="477" spans="1:9">
      <c r="A477" s="1"/>
      <c r="B477" s="1"/>
      <c r="C477" s="27"/>
      <c r="D477" s="31"/>
      <c r="F477" s="30"/>
      <c r="G477" s="30"/>
      <c r="I477" s="30"/>
    </row>
    <row r="478" spans="1:9">
      <c r="A478" s="1"/>
      <c r="B478" s="1"/>
      <c r="C478" s="27"/>
      <c r="D478" s="31"/>
      <c r="F478" s="30"/>
      <c r="G478" s="30"/>
      <c r="I478" s="30"/>
    </row>
    <row r="479" spans="1:9">
      <c r="A479" s="1"/>
      <c r="B479" s="1"/>
      <c r="C479" s="27"/>
      <c r="D479" s="31"/>
      <c r="F479" s="30"/>
      <c r="G479" s="30"/>
      <c r="I479" s="30"/>
    </row>
    <row r="480" spans="1:9">
      <c r="A480" s="1"/>
      <c r="B480" s="1"/>
      <c r="C480" s="27"/>
      <c r="D480" s="31"/>
      <c r="F480" s="30"/>
      <c r="G480" s="30"/>
      <c r="I480" s="30"/>
    </row>
    <row r="481" spans="1:9">
      <c r="A481" s="1"/>
      <c r="B481" s="1"/>
      <c r="C481" s="27"/>
      <c r="D481" s="31"/>
      <c r="F481" s="30"/>
      <c r="G481" s="30"/>
      <c r="I481" s="30"/>
    </row>
    <row r="482" spans="1:9">
      <c r="A482" s="1"/>
      <c r="B482" s="1"/>
      <c r="C482" s="27"/>
      <c r="D482" s="31"/>
      <c r="F482" s="30"/>
      <c r="G482" s="30"/>
      <c r="I482" s="30"/>
    </row>
    <row r="483" spans="1:9">
      <c r="A483" s="1"/>
      <c r="B483" s="1"/>
      <c r="C483" s="32"/>
      <c r="D483" s="33"/>
      <c r="F483" s="30"/>
      <c r="G483" s="30"/>
      <c r="I483" s="30"/>
    </row>
    <row r="484" spans="1:9">
      <c r="A484" s="1"/>
      <c r="B484" s="1"/>
      <c r="C484" s="32"/>
      <c r="D484" s="33"/>
      <c r="F484" s="30"/>
      <c r="G484" s="30"/>
      <c r="I484" s="30"/>
    </row>
    <row r="485" spans="1:9">
      <c r="A485" s="1"/>
      <c r="B485" s="1"/>
      <c r="C485" s="32"/>
      <c r="D485" s="33"/>
      <c r="F485" s="30"/>
      <c r="G485" s="30"/>
      <c r="I485" s="30"/>
    </row>
    <row r="486" spans="1:9">
      <c r="A486" s="1"/>
      <c r="B486" s="1"/>
      <c r="C486" s="32"/>
      <c r="D486" s="33"/>
      <c r="F486" s="30"/>
      <c r="G486" s="30"/>
      <c r="I486" s="30"/>
    </row>
    <row r="487" spans="1:9">
      <c r="A487" s="1"/>
      <c r="B487" s="1"/>
      <c r="C487" s="32"/>
      <c r="D487" s="33"/>
      <c r="F487" s="30"/>
      <c r="G487" s="30"/>
      <c r="I487" s="30"/>
    </row>
    <row r="488" spans="1:9">
      <c r="A488" s="1"/>
      <c r="B488" s="1"/>
      <c r="C488" s="32"/>
      <c r="D488" s="33"/>
      <c r="F488" s="30"/>
      <c r="G488" s="30"/>
      <c r="I488" s="30"/>
    </row>
    <row r="489" spans="1:9">
      <c r="A489" s="1"/>
      <c r="B489" s="1"/>
      <c r="C489" s="32"/>
      <c r="D489" s="33"/>
      <c r="F489" s="30"/>
      <c r="G489" s="30"/>
      <c r="I489" s="30"/>
    </row>
    <row r="490" spans="1:9">
      <c r="A490" s="1"/>
      <c r="B490" s="1"/>
      <c r="C490" s="32"/>
      <c r="D490" s="33"/>
      <c r="F490" s="30"/>
      <c r="G490" s="30"/>
      <c r="I490" s="30"/>
    </row>
    <row r="491" spans="1:9">
      <c r="A491" s="1"/>
      <c r="B491" s="1"/>
      <c r="C491" s="32"/>
      <c r="D491" s="33"/>
      <c r="F491" s="30"/>
      <c r="G491" s="30"/>
      <c r="I491" s="30"/>
    </row>
    <row r="492" spans="1:9">
      <c r="A492" s="1"/>
      <c r="B492" s="1"/>
      <c r="C492" s="32"/>
      <c r="D492" s="33"/>
      <c r="F492" s="30"/>
      <c r="G492" s="30"/>
      <c r="I492" s="30"/>
    </row>
    <row r="493" spans="1:9">
      <c r="A493" s="1"/>
      <c r="B493" s="1"/>
      <c r="C493" s="32"/>
      <c r="D493" s="33"/>
      <c r="F493" s="30"/>
      <c r="G493" s="30"/>
      <c r="I493" s="30"/>
    </row>
    <row r="494" spans="1:9">
      <c r="A494" s="1"/>
      <c r="B494" s="1"/>
      <c r="C494" s="32"/>
      <c r="D494" s="33"/>
      <c r="F494" s="30"/>
      <c r="G494" s="30"/>
      <c r="I494" s="30"/>
    </row>
    <row r="495" spans="1:9">
      <c r="A495" s="1"/>
      <c r="B495" s="1"/>
      <c r="C495" s="32"/>
      <c r="D495" s="33"/>
      <c r="F495" s="30"/>
      <c r="G495" s="30"/>
      <c r="I495" s="30"/>
    </row>
    <row r="496" spans="1:9">
      <c r="A496" s="1"/>
      <c r="B496" s="1"/>
      <c r="C496" s="27"/>
      <c r="D496" s="31"/>
      <c r="F496" s="30"/>
      <c r="G496" s="30"/>
      <c r="I496" s="35"/>
    </row>
    <row r="497" spans="1:9">
      <c r="A497" s="1"/>
      <c r="B497" s="1"/>
      <c r="C497" s="34"/>
      <c r="D497" s="31"/>
      <c r="F497" s="35"/>
      <c r="G497" s="35"/>
      <c r="I497" s="35"/>
    </row>
    <row r="498" spans="1:9">
      <c r="A498" s="1"/>
      <c r="B498" s="1"/>
      <c r="C498" s="34"/>
      <c r="D498" s="31"/>
      <c r="F498" s="35"/>
      <c r="G498" s="35"/>
      <c r="I498" s="35"/>
    </row>
    <row r="499" spans="1:9">
      <c r="A499" s="1"/>
      <c r="B499" s="1"/>
      <c r="C499" s="34"/>
      <c r="D499" s="31"/>
      <c r="F499" s="35"/>
      <c r="G499" s="35"/>
      <c r="I499" s="35"/>
    </row>
    <row r="500" spans="1:9">
      <c r="A500" s="1"/>
      <c r="B500" s="1"/>
      <c r="C500" s="34"/>
      <c r="D500" s="31"/>
      <c r="F500" s="35"/>
      <c r="G500" s="35"/>
      <c r="I500" s="35"/>
    </row>
    <row r="501" spans="1:9">
      <c r="A501" s="1"/>
      <c r="B501" s="1"/>
      <c r="C501" s="34"/>
      <c r="D501" s="31"/>
      <c r="F501" s="35"/>
      <c r="G501" s="35"/>
      <c r="I501" s="35"/>
    </row>
    <row r="502" spans="1:9">
      <c r="A502" s="1"/>
      <c r="B502" s="1"/>
      <c r="C502" s="34"/>
      <c r="D502" s="31"/>
      <c r="F502" s="35"/>
      <c r="G502" s="35"/>
      <c r="I502" s="35"/>
    </row>
    <row r="503" spans="1:9">
      <c r="A503" s="1"/>
      <c r="B503" s="1"/>
      <c r="C503" s="34"/>
      <c r="D503" s="31"/>
      <c r="F503" s="35"/>
      <c r="G503" s="35"/>
      <c r="I503" s="35"/>
    </row>
    <row r="504" spans="1:9">
      <c r="A504" s="1"/>
      <c r="B504" s="1"/>
      <c r="C504" s="34"/>
      <c r="D504" s="31"/>
      <c r="F504" s="35"/>
      <c r="G504" s="35"/>
      <c r="I504" s="35"/>
    </row>
    <row r="505" spans="1:9">
      <c r="A505" s="1"/>
      <c r="B505" s="1"/>
      <c r="C505" s="34"/>
      <c r="D505" s="31"/>
      <c r="F505" s="35"/>
      <c r="G505" s="35"/>
      <c r="I505" s="35"/>
    </row>
    <row r="506" spans="1:9">
      <c r="A506" s="1"/>
      <c r="B506" s="1"/>
      <c r="C506" s="34"/>
      <c r="D506" s="31"/>
      <c r="F506" s="35"/>
      <c r="G506" s="35"/>
      <c r="I506" s="35"/>
    </row>
    <row r="507" spans="1:9">
      <c r="A507" s="1"/>
      <c r="B507" s="1"/>
      <c r="C507" s="34"/>
      <c r="D507" s="31"/>
      <c r="F507" s="35"/>
      <c r="G507" s="35"/>
      <c r="I507" s="35"/>
    </row>
    <row r="508" spans="1:9">
      <c r="A508" s="1"/>
      <c r="B508" s="1"/>
      <c r="C508" s="34"/>
      <c r="D508" s="31"/>
      <c r="F508" s="35"/>
      <c r="G508" s="35"/>
      <c r="I508" s="35"/>
    </row>
    <row r="509" spans="1:9">
      <c r="A509" s="1"/>
      <c r="B509" s="1"/>
      <c r="C509" s="34"/>
      <c r="D509" s="31"/>
      <c r="F509" s="35"/>
      <c r="G509" s="35"/>
      <c r="I509" s="35"/>
    </row>
    <row r="510" spans="1:9">
      <c r="A510" s="1"/>
      <c r="B510" s="1"/>
      <c r="C510" s="34"/>
      <c r="D510" s="31"/>
      <c r="F510" s="35"/>
      <c r="G510" s="35"/>
      <c r="I510" s="35"/>
    </row>
    <row r="511" spans="1:9">
      <c r="A511" s="1"/>
      <c r="B511" s="1"/>
      <c r="C511" s="34"/>
      <c r="D511" s="31"/>
      <c r="F511" s="35"/>
      <c r="G511" s="35"/>
      <c r="I511" s="35"/>
    </row>
    <row r="512" spans="1:9">
      <c r="A512" s="1"/>
      <c r="B512" s="1"/>
      <c r="C512" s="34"/>
      <c r="D512" s="31"/>
      <c r="F512" s="35"/>
      <c r="G512" s="35"/>
      <c r="I512" s="35"/>
    </row>
    <row r="513" spans="1:9">
      <c r="A513" s="1"/>
      <c r="B513" s="1"/>
      <c r="C513" s="34"/>
      <c r="D513" s="31"/>
      <c r="F513" s="35"/>
      <c r="G513" s="35"/>
      <c r="I513" s="35"/>
    </row>
    <row r="514" spans="1:9">
      <c r="A514" s="1"/>
      <c r="B514" s="1"/>
      <c r="C514" s="34"/>
      <c r="D514" s="31"/>
      <c r="F514" s="35"/>
      <c r="G514" s="35"/>
      <c r="I514" s="35"/>
    </row>
    <row r="515" spans="1:9">
      <c r="A515" s="1"/>
      <c r="B515" s="1"/>
      <c r="C515" s="34"/>
      <c r="D515" s="31"/>
      <c r="F515" s="35"/>
      <c r="G515" s="35"/>
      <c r="I515" s="35"/>
    </row>
    <row r="516" spans="1:9">
      <c r="A516" s="1"/>
      <c r="B516" s="1"/>
      <c r="C516" s="34"/>
      <c r="D516" s="31"/>
      <c r="F516" s="35"/>
      <c r="G516" s="35"/>
      <c r="I516" s="35"/>
    </row>
    <row r="517" spans="1:9">
      <c r="A517" s="1"/>
      <c r="B517" s="1"/>
      <c r="C517" s="34"/>
      <c r="D517" s="31"/>
      <c r="F517" s="35"/>
      <c r="G517" s="35"/>
      <c r="I517" s="35"/>
    </row>
    <row r="518" spans="1:9">
      <c r="A518" s="1"/>
      <c r="B518" s="1"/>
      <c r="C518" s="34"/>
      <c r="D518" s="31"/>
      <c r="F518" s="35"/>
      <c r="G518" s="35"/>
      <c r="I518" s="35"/>
    </row>
    <row r="519" spans="1:9">
      <c r="A519" s="1"/>
      <c r="B519" s="1"/>
      <c r="C519" s="34"/>
      <c r="D519" s="31"/>
      <c r="F519" s="35"/>
      <c r="G519" s="35"/>
      <c r="I519" s="35"/>
    </row>
    <row r="520" spans="1:9">
      <c r="A520" s="1"/>
      <c r="B520" s="1"/>
      <c r="C520" s="34"/>
      <c r="D520" s="31"/>
      <c r="F520" s="35"/>
      <c r="G520" s="35"/>
      <c r="I520" s="35"/>
    </row>
    <row r="521" spans="1:9">
      <c r="A521" s="1"/>
      <c r="B521" s="1"/>
      <c r="C521" s="34"/>
      <c r="D521" s="31"/>
      <c r="F521" s="35"/>
      <c r="G521" s="35"/>
      <c r="I521" s="35"/>
    </row>
    <row r="522" spans="1:9">
      <c r="A522" s="1"/>
      <c r="B522" s="1"/>
      <c r="C522" s="34"/>
      <c r="D522" s="31"/>
      <c r="F522" s="35"/>
      <c r="G522" s="35"/>
      <c r="I522" s="35"/>
    </row>
    <row r="523" spans="1:9">
      <c r="A523" s="1"/>
      <c r="B523" s="1"/>
      <c r="C523" s="34"/>
      <c r="D523" s="31"/>
      <c r="F523" s="35"/>
      <c r="G523" s="35"/>
      <c r="I523" s="35"/>
    </row>
    <row r="524" spans="1:9">
      <c r="A524" s="1"/>
      <c r="B524" s="1"/>
      <c r="C524" s="34"/>
      <c r="D524" s="31"/>
      <c r="F524" s="35"/>
      <c r="G524" s="35"/>
      <c r="I524" s="35"/>
    </row>
    <row r="525" spans="1:9">
      <c r="A525" s="1"/>
      <c r="B525" s="1"/>
      <c r="C525" s="34"/>
      <c r="D525" s="31"/>
      <c r="F525" s="35"/>
      <c r="G525" s="35"/>
      <c r="I525" s="35"/>
    </row>
    <row r="526" spans="1:9">
      <c r="A526" s="1"/>
      <c r="B526" s="1"/>
      <c r="C526" s="34"/>
      <c r="D526" s="31"/>
      <c r="F526" s="35"/>
      <c r="G526" s="35"/>
      <c r="I526" s="35"/>
    </row>
    <row r="527" spans="1:9">
      <c r="A527" s="1"/>
      <c r="B527" s="1"/>
      <c r="C527" s="34"/>
      <c r="D527" s="31"/>
      <c r="F527" s="35"/>
      <c r="G527" s="35"/>
      <c r="I527" s="35"/>
    </row>
    <row r="528" spans="1:9">
      <c r="A528" s="1"/>
      <c r="B528" s="1"/>
      <c r="C528" s="34"/>
      <c r="D528" s="31"/>
      <c r="F528" s="35"/>
      <c r="G528" s="35"/>
      <c r="I528" s="35"/>
    </row>
    <row r="529" spans="1:9">
      <c r="A529" s="1"/>
      <c r="B529" s="1"/>
      <c r="C529" s="34"/>
      <c r="D529" s="31"/>
      <c r="F529" s="35"/>
      <c r="G529" s="35"/>
      <c r="I529" s="35"/>
    </row>
    <row r="530" spans="1:9">
      <c r="A530" s="1"/>
      <c r="B530" s="1"/>
      <c r="C530" s="34"/>
      <c r="D530" s="31"/>
      <c r="F530" s="35"/>
      <c r="G530" s="35"/>
      <c r="I530" s="35"/>
    </row>
    <row r="531" spans="1:9">
      <c r="A531" s="1"/>
      <c r="B531" s="1"/>
      <c r="C531" s="34"/>
      <c r="D531" s="31"/>
      <c r="F531" s="35"/>
      <c r="G531" s="35"/>
      <c r="I531" s="35"/>
    </row>
    <row r="532" spans="1:9">
      <c r="A532" s="1"/>
      <c r="B532" s="1"/>
      <c r="C532" s="34"/>
      <c r="D532" s="31"/>
      <c r="F532" s="35"/>
      <c r="G532" s="35"/>
      <c r="I532" s="35"/>
    </row>
    <row r="533" spans="1:9">
      <c r="A533" s="1"/>
      <c r="B533" s="1"/>
      <c r="C533" s="34"/>
      <c r="D533" s="31"/>
      <c r="F533" s="35"/>
      <c r="G533" s="35"/>
      <c r="I533" s="35"/>
    </row>
    <row r="534" spans="1:9">
      <c r="A534" s="1"/>
      <c r="B534" s="1"/>
      <c r="C534" s="34"/>
      <c r="D534" s="31"/>
      <c r="F534" s="35"/>
      <c r="G534" s="35"/>
      <c r="I534" s="35"/>
    </row>
    <row r="535" spans="1:9">
      <c r="A535" s="1"/>
      <c r="B535" s="1"/>
      <c r="C535" s="34"/>
      <c r="D535" s="31"/>
      <c r="F535" s="35"/>
      <c r="G535" s="35"/>
      <c r="I535" s="35"/>
    </row>
    <row r="536" spans="1:9">
      <c r="A536" s="1"/>
      <c r="B536" s="1"/>
      <c r="C536" s="34"/>
      <c r="D536" s="31"/>
      <c r="F536" s="35"/>
      <c r="G536" s="35"/>
      <c r="I536" s="35"/>
    </row>
    <row r="537" spans="1:9">
      <c r="A537" s="1"/>
      <c r="B537" s="1"/>
      <c r="C537" s="34"/>
      <c r="D537" s="31"/>
      <c r="F537" s="35"/>
      <c r="G537" s="35"/>
      <c r="I537" s="35"/>
    </row>
    <row r="538" spans="1:9">
      <c r="A538" s="1"/>
      <c r="B538" s="1"/>
      <c r="C538" s="34"/>
      <c r="D538" s="31"/>
      <c r="F538" s="35"/>
      <c r="G538" s="35"/>
      <c r="I538" s="35"/>
    </row>
    <row r="539" spans="1:9">
      <c r="A539" s="1"/>
      <c r="B539" s="1"/>
      <c r="C539" s="34"/>
      <c r="D539" s="31"/>
      <c r="F539" s="35"/>
      <c r="G539" s="35"/>
      <c r="I539" s="35"/>
    </row>
    <row r="540" spans="1:9">
      <c r="A540" s="1"/>
      <c r="B540" s="1"/>
      <c r="C540" s="34"/>
      <c r="D540" s="31"/>
      <c r="F540" s="35"/>
      <c r="G540" s="35"/>
      <c r="I540" s="35"/>
    </row>
    <row r="541" spans="1:9">
      <c r="A541" s="1"/>
      <c r="B541" s="1"/>
      <c r="C541" s="34"/>
      <c r="D541" s="31"/>
      <c r="F541" s="35"/>
      <c r="G541" s="35"/>
      <c r="I541" s="35"/>
    </row>
    <row r="542" spans="1:9">
      <c r="A542" s="1"/>
      <c r="B542" s="1"/>
      <c r="C542" s="34"/>
      <c r="D542" s="31"/>
      <c r="F542" s="35"/>
      <c r="G542" s="35"/>
      <c r="I542" s="35"/>
    </row>
    <row r="543" spans="1:9">
      <c r="A543" s="1"/>
      <c r="B543" s="1"/>
      <c r="C543" s="34"/>
      <c r="D543" s="31"/>
      <c r="F543" s="35"/>
      <c r="G543" s="35"/>
      <c r="I543" s="35"/>
    </row>
    <row r="544" spans="1:9">
      <c r="A544" s="1"/>
      <c r="B544" s="1"/>
      <c r="C544" s="34"/>
      <c r="D544" s="31"/>
      <c r="F544" s="35"/>
      <c r="G544" s="35"/>
      <c r="I544" s="35"/>
    </row>
    <row r="545" spans="1:9">
      <c r="A545" s="1"/>
      <c r="B545" s="1"/>
      <c r="C545" s="34"/>
      <c r="D545" s="31"/>
      <c r="F545" s="35"/>
      <c r="G545" s="35"/>
      <c r="I545" s="35"/>
    </row>
    <row r="546" spans="1:9">
      <c r="A546" s="1"/>
      <c r="B546" s="1"/>
      <c r="C546" s="34"/>
      <c r="D546" s="31"/>
      <c r="F546" s="35"/>
      <c r="G546" s="35"/>
      <c r="I546" s="35"/>
    </row>
    <row r="547" spans="1:9">
      <c r="A547" s="1"/>
      <c r="B547" s="1"/>
      <c r="C547" s="34"/>
      <c r="D547" s="31"/>
      <c r="F547" s="35"/>
      <c r="G547" s="35"/>
      <c r="I547" s="35"/>
    </row>
    <row r="548" spans="1:9">
      <c r="A548" s="1"/>
      <c r="B548" s="1"/>
      <c r="C548" s="34"/>
      <c r="D548" s="31"/>
      <c r="F548" s="35"/>
      <c r="G548" s="35"/>
      <c r="I548" s="35"/>
    </row>
    <row r="549" spans="1:9">
      <c r="A549" s="1"/>
      <c r="B549" s="1"/>
      <c r="C549" s="34"/>
      <c r="D549" s="31"/>
      <c r="F549" s="35"/>
      <c r="G549" s="35"/>
      <c r="I549" s="35"/>
    </row>
    <row r="550" spans="1:9">
      <c r="A550" s="1"/>
      <c r="B550" s="1"/>
      <c r="C550" s="34"/>
      <c r="D550" s="31"/>
      <c r="F550" s="35"/>
      <c r="G550" s="35"/>
      <c r="I550" s="35"/>
    </row>
    <row r="551" spans="1:9">
      <c r="A551" s="1"/>
      <c r="B551" s="1"/>
      <c r="C551" s="34"/>
      <c r="D551" s="31"/>
      <c r="F551" s="35"/>
      <c r="G551" s="35"/>
      <c r="I551" s="35"/>
    </row>
    <row r="552" spans="1:9">
      <c r="A552" s="1"/>
      <c r="B552" s="1"/>
      <c r="C552" s="34"/>
      <c r="D552" s="31"/>
      <c r="F552" s="35"/>
      <c r="G552" s="35"/>
      <c r="I552" s="35"/>
    </row>
    <row r="553" spans="1:9">
      <c r="A553" s="1"/>
      <c r="B553" s="1"/>
      <c r="C553" s="34"/>
      <c r="D553" s="31"/>
      <c r="F553" s="35"/>
      <c r="G553" s="35"/>
      <c r="I553" s="35"/>
    </row>
    <row r="554" spans="1:9">
      <c r="A554" s="1"/>
      <c r="B554" s="1"/>
      <c r="C554" s="34"/>
      <c r="D554" s="31"/>
      <c r="F554" s="35"/>
      <c r="G554" s="35"/>
      <c r="I554" s="35"/>
    </row>
    <row r="555" spans="1:9">
      <c r="A555" s="1"/>
      <c r="B555" s="1"/>
      <c r="C555" s="34"/>
      <c r="D555" s="31"/>
      <c r="F555" s="35"/>
      <c r="G555" s="35"/>
      <c r="I555" s="35"/>
    </row>
    <row r="556" spans="1:9">
      <c r="A556" s="1"/>
      <c r="B556" s="1"/>
      <c r="C556" s="34"/>
      <c r="D556" s="31"/>
      <c r="F556" s="35"/>
      <c r="G556" s="35"/>
      <c r="I556" s="35"/>
    </row>
    <row r="557" spans="1:9">
      <c r="A557" s="1"/>
      <c r="B557" s="1"/>
      <c r="C557" s="34"/>
      <c r="D557" s="31"/>
      <c r="F557" s="35"/>
      <c r="G557" s="35"/>
      <c r="I557" s="35"/>
    </row>
    <row r="558" spans="1:9">
      <c r="A558" s="1"/>
      <c r="B558" s="1"/>
      <c r="C558" s="34"/>
      <c r="D558" s="31"/>
      <c r="F558" s="35"/>
      <c r="G558" s="35"/>
      <c r="I558" s="35"/>
    </row>
    <row r="559" spans="1:9">
      <c r="A559" s="1"/>
      <c r="B559" s="1"/>
      <c r="C559" s="34"/>
      <c r="D559" s="31"/>
      <c r="F559" s="35"/>
      <c r="G559" s="35"/>
      <c r="I559" s="35"/>
    </row>
    <row r="560" spans="1:9">
      <c r="A560" s="1"/>
      <c r="B560" s="1"/>
      <c r="C560" s="34"/>
      <c r="D560" s="31"/>
      <c r="F560" s="35"/>
      <c r="G560" s="35"/>
      <c r="I560" s="35"/>
    </row>
    <row r="561" spans="1:9">
      <c r="A561" s="1"/>
      <c r="B561" s="1"/>
      <c r="C561" s="34"/>
      <c r="D561" s="31"/>
      <c r="F561" s="35"/>
      <c r="G561" s="35"/>
      <c r="I561" s="35"/>
    </row>
    <row r="562" spans="1:9">
      <c r="A562" s="1"/>
      <c r="B562" s="1"/>
      <c r="C562" s="34"/>
      <c r="D562" s="31"/>
      <c r="F562" s="35"/>
      <c r="G562" s="35"/>
      <c r="I562" s="35"/>
    </row>
    <row r="563" spans="1:9">
      <c r="A563" s="1"/>
      <c r="B563" s="1"/>
      <c r="C563" s="34"/>
      <c r="D563" s="31"/>
      <c r="F563" s="35"/>
      <c r="G563" s="35"/>
      <c r="I563" s="35"/>
    </row>
    <row r="564" spans="1:9">
      <c r="A564" s="1"/>
      <c r="B564" s="1"/>
      <c r="C564" s="34"/>
      <c r="D564" s="31"/>
      <c r="F564" s="35"/>
      <c r="G564" s="35"/>
      <c r="I564" s="35"/>
    </row>
    <row r="565" spans="1:9">
      <c r="A565" s="1"/>
      <c r="B565" s="1"/>
      <c r="C565" s="34"/>
      <c r="D565" s="31"/>
      <c r="F565" s="35"/>
      <c r="G565" s="35"/>
      <c r="I565" s="35"/>
    </row>
    <row r="566" spans="1:9">
      <c r="A566" s="1"/>
      <c r="B566" s="1"/>
      <c r="C566" s="34"/>
      <c r="D566" s="31"/>
      <c r="F566" s="35"/>
      <c r="G566" s="35"/>
      <c r="I566" s="35"/>
    </row>
    <row r="567" spans="1:9">
      <c r="A567" s="1"/>
      <c r="B567" s="1"/>
      <c r="C567" s="34"/>
      <c r="D567" s="31"/>
      <c r="F567" s="35"/>
      <c r="G567" s="35"/>
      <c r="I567" s="35"/>
    </row>
    <row r="568" spans="1:9">
      <c r="A568" s="1"/>
      <c r="B568" s="1"/>
      <c r="C568" s="34"/>
      <c r="D568" s="31"/>
      <c r="F568" s="35"/>
      <c r="G568" s="35"/>
      <c r="I568" s="30"/>
    </row>
    <row r="569" spans="1:9">
      <c r="A569" s="1"/>
      <c r="B569" s="1"/>
      <c r="C569" s="27"/>
      <c r="D569" s="31"/>
      <c r="F569" s="30"/>
      <c r="G569" s="30"/>
      <c r="I569" s="30"/>
    </row>
    <row r="570" spans="1:9">
      <c r="A570" s="1"/>
      <c r="B570" s="1"/>
      <c r="C570" s="27"/>
      <c r="D570" s="31"/>
      <c r="F570" s="30"/>
      <c r="G570" s="30"/>
      <c r="I570" s="30"/>
    </row>
    <row r="571" spans="1:9">
      <c r="A571" s="1"/>
      <c r="B571" s="1"/>
      <c r="C571" s="27"/>
      <c r="D571" s="31"/>
      <c r="F571" s="30"/>
      <c r="G571" s="30"/>
      <c r="I571" s="30"/>
    </row>
    <row r="572" spans="1:9">
      <c r="A572" s="1"/>
      <c r="B572" s="1"/>
      <c r="C572" s="27"/>
      <c r="D572" s="31"/>
      <c r="F572" s="30"/>
      <c r="G572" s="30"/>
      <c r="I572" s="30"/>
    </row>
    <row r="573" spans="1:9">
      <c r="A573" s="1"/>
      <c r="B573" s="1"/>
      <c r="C573" s="27"/>
      <c r="D573" s="31"/>
      <c r="F573" s="30"/>
      <c r="G573" s="30"/>
      <c r="I573" s="30"/>
    </row>
    <row r="574" spans="1:9">
      <c r="A574" s="1"/>
      <c r="B574" s="1"/>
      <c r="C574" s="27"/>
      <c r="D574" s="31"/>
      <c r="F574" s="30"/>
      <c r="G574" s="30"/>
      <c r="I574" s="30"/>
    </row>
    <row r="575" spans="1:9">
      <c r="A575" s="1"/>
      <c r="B575" s="1"/>
      <c r="C575" s="27"/>
      <c r="D575" s="31"/>
      <c r="F575" s="30"/>
      <c r="G575" s="30"/>
      <c r="I575" s="30"/>
    </row>
    <row r="576" spans="1:9">
      <c r="A576" s="1"/>
      <c r="B576" s="1"/>
      <c r="C576" s="27"/>
      <c r="D576" s="31"/>
      <c r="F576" s="30"/>
      <c r="G576" s="30"/>
      <c r="I576" s="30"/>
    </row>
    <row r="577" spans="1:9">
      <c r="A577" s="1"/>
      <c r="B577" s="1"/>
      <c r="C577" s="27"/>
      <c r="D577" s="31"/>
      <c r="F577" s="30"/>
      <c r="G577" s="30"/>
      <c r="I577" s="30"/>
    </row>
    <row r="578" spans="1:9">
      <c r="A578" s="1"/>
      <c r="B578" s="1"/>
      <c r="C578" s="27"/>
      <c r="D578" s="31"/>
      <c r="F578" s="30"/>
      <c r="G578" s="30"/>
      <c r="I578" s="30"/>
    </row>
    <row r="579" spans="1:9">
      <c r="A579" s="1"/>
      <c r="B579" s="1"/>
      <c r="C579" s="27"/>
      <c r="D579" s="31"/>
      <c r="F579" s="30"/>
      <c r="G579" s="30"/>
      <c r="I579" s="30"/>
    </row>
    <row r="580" spans="1:9">
      <c r="A580" s="1"/>
      <c r="B580" s="1"/>
      <c r="C580" s="27"/>
      <c r="D580" s="31"/>
      <c r="F580" s="30"/>
      <c r="G580" s="30"/>
      <c r="I580" s="30"/>
    </row>
    <row r="581" spans="1:9">
      <c r="A581" s="1"/>
      <c r="B581" s="1"/>
      <c r="C581" s="27"/>
      <c r="D581" s="31"/>
      <c r="F581" s="30"/>
      <c r="G581" s="30"/>
      <c r="I581" s="30"/>
    </row>
    <row r="582" spans="1:9">
      <c r="A582" s="1"/>
      <c r="B582" s="1"/>
      <c r="C582" s="27"/>
      <c r="D582" s="31"/>
      <c r="F582" s="30"/>
      <c r="G582" s="30"/>
      <c r="I582" s="30"/>
    </row>
    <row r="583" spans="1:9">
      <c r="A583" s="1"/>
      <c r="B583" s="1"/>
      <c r="C583" s="27"/>
      <c r="D583" s="31"/>
      <c r="F583" s="30"/>
      <c r="G583" s="30"/>
      <c r="I583" s="30"/>
    </row>
    <row r="584" spans="1:9">
      <c r="A584" s="1"/>
      <c r="B584" s="1"/>
      <c r="C584" s="27"/>
      <c r="D584" s="31"/>
      <c r="F584" s="30"/>
      <c r="G584" s="30"/>
      <c r="I584" s="30"/>
    </row>
    <row r="585" spans="1:9">
      <c r="A585" s="1"/>
      <c r="B585" s="1"/>
      <c r="C585" s="27"/>
      <c r="D585" s="31"/>
      <c r="F585" s="30"/>
      <c r="G585" s="30"/>
      <c r="I585" s="30"/>
    </row>
    <row r="586" spans="1:9">
      <c r="A586" s="1"/>
      <c r="B586" s="1"/>
      <c r="C586" s="27"/>
      <c r="D586" s="31"/>
      <c r="F586" s="30"/>
      <c r="G586" s="30"/>
      <c r="I586" s="30"/>
    </row>
    <row r="587" spans="1:9">
      <c r="A587" s="1"/>
      <c r="B587" s="1"/>
      <c r="C587" s="27"/>
      <c r="D587" s="31"/>
      <c r="F587" s="30"/>
      <c r="G587" s="30"/>
      <c r="I587" s="30"/>
    </row>
    <row r="588" spans="1:9">
      <c r="A588" s="1"/>
      <c r="B588" s="1"/>
      <c r="C588" s="27"/>
      <c r="D588" s="31"/>
      <c r="F588" s="30"/>
      <c r="G588" s="30"/>
      <c r="I588" s="30"/>
    </row>
    <row r="589" spans="1:9">
      <c r="A589" s="1"/>
      <c r="B589" s="1"/>
      <c r="C589" s="27"/>
      <c r="D589" s="31"/>
      <c r="F589" s="30"/>
      <c r="G589" s="30"/>
      <c r="I589" s="30"/>
    </row>
    <row r="590" spans="1:9">
      <c r="A590" s="1"/>
      <c r="B590" s="1"/>
      <c r="C590" s="27"/>
      <c r="D590" s="31"/>
      <c r="F590" s="30"/>
      <c r="G590" s="30"/>
      <c r="I590" s="30"/>
    </row>
    <row r="591" spans="1:9">
      <c r="A591" s="1"/>
      <c r="B591" s="1"/>
      <c r="C591" s="27"/>
      <c r="D591" s="31"/>
      <c r="F591" s="30"/>
      <c r="G591" s="30"/>
      <c r="I591" s="30"/>
    </row>
    <row r="592" spans="1:9">
      <c r="A592" s="1"/>
      <c r="B592" s="1"/>
      <c r="C592" s="27"/>
      <c r="D592" s="31"/>
      <c r="F592" s="30"/>
      <c r="G592" s="30"/>
      <c r="I592" s="30"/>
    </row>
    <row r="593" spans="1:9">
      <c r="A593" s="1"/>
      <c r="B593" s="1"/>
      <c r="C593" s="27"/>
      <c r="D593" s="31"/>
      <c r="F593" s="30"/>
      <c r="G593" s="30"/>
      <c r="I593" s="30"/>
    </row>
    <row r="594" spans="1:9">
      <c r="A594" s="1"/>
      <c r="B594" s="1"/>
      <c r="C594" s="27"/>
      <c r="D594" s="31"/>
      <c r="F594" s="30"/>
      <c r="G594" s="30"/>
      <c r="I594" s="30"/>
    </row>
    <row r="595" spans="1:9">
      <c r="A595" s="1"/>
      <c r="B595" s="1"/>
      <c r="C595" s="27"/>
      <c r="D595" s="31"/>
      <c r="F595" s="30"/>
      <c r="G595" s="30"/>
      <c r="I595" s="30"/>
    </row>
    <row r="596" spans="1:9">
      <c r="A596" s="1"/>
      <c r="B596" s="1"/>
      <c r="C596" s="27"/>
      <c r="D596" s="31"/>
      <c r="F596" s="30"/>
      <c r="G596" s="30"/>
      <c r="I596" s="30"/>
    </row>
    <row r="597" spans="1:9">
      <c r="A597" s="1"/>
      <c r="B597" s="1"/>
      <c r="C597" s="27"/>
      <c r="D597" s="31"/>
      <c r="F597" s="30"/>
      <c r="G597" s="30"/>
      <c r="I597" s="30"/>
    </row>
    <row r="598" spans="1:9">
      <c r="A598" s="1"/>
      <c r="B598" s="1"/>
      <c r="C598" s="27"/>
      <c r="D598" s="31"/>
      <c r="F598" s="30"/>
      <c r="G598" s="30"/>
      <c r="I598" s="30"/>
    </row>
    <row r="599" spans="1:9">
      <c r="A599" s="1"/>
      <c r="B599" s="1"/>
      <c r="C599" s="27"/>
      <c r="D599" s="31"/>
      <c r="F599" s="30"/>
      <c r="G599" s="30"/>
      <c r="I599" s="30"/>
    </row>
    <row r="600" spans="1:9">
      <c r="A600" s="1"/>
      <c r="B600" s="1"/>
      <c r="C600" s="27"/>
      <c r="D600" s="31"/>
      <c r="F600" s="30"/>
      <c r="G600" s="30"/>
      <c r="I600" s="30"/>
    </row>
    <row r="601" spans="1:9">
      <c r="A601" s="1"/>
      <c r="B601" s="1"/>
      <c r="C601" s="27"/>
      <c r="D601" s="31"/>
      <c r="F601" s="30"/>
      <c r="G601" s="30"/>
      <c r="I601" s="30"/>
    </row>
    <row r="602" spans="1:9">
      <c r="A602" s="1"/>
      <c r="B602" s="1"/>
      <c r="C602" s="27"/>
      <c r="D602" s="31"/>
      <c r="F602" s="30"/>
      <c r="G602" s="30"/>
      <c r="I602" s="30"/>
    </row>
    <row r="603" spans="1:9">
      <c r="A603" s="1"/>
      <c r="B603" s="1"/>
      <c r="C603" s="27"/>
      <c r="D603" s="31"/>
      <c r="F603" s="30"/>
      <c r="G603" s="30"/>
      <c r="I603" s="30"/>
    </row>
    <row r="604" spans="1:9">
      <c r="A604" s="1"/>
      <c r="B604" s="1"/>
      <c r="C604" s="27"/>
      <c r="D604" s="31"/>
      <c r="F604" s="30"/>
      <c r="G604" s="30"/>
      <c r="I604" s="30"/>
    </row>
    <row r="605" spans="1:9">
      <c r="A605" s="1"/>
      <c r="B605" s="1"/>
      <c r="C605" s="27"/>
      <c r="D605" s="31"/>
      <c r="F605" s="30"/>
      <c r="G605" s="30"/>
      <c r="I605" s="30"/>
    </row>
    <row r="606" spans="1:9">
      <c r="A606" s="1"/>
      <c r="B606" s="1"/>
      <c r="C606" s="27"/>
      <c r="D606" s="31"/>
      <c r="F606" s="30"/>
      <c r="G606" s="30"/>
      <c r="I606" s="30"/>
    </row>
    <row r="607" spans="1:9">
      <c r="A607" s="1"/>
      <c r="B607" s="1"/>
      <c r="C607" s="27"/>
      <c r="D607" s="31"/>
      <c r="F607" s="30"/>
      <c r="G607" s="30"/>
      <c r="I607" s="30"/>
    </row>
    <row r="608" spans="1:9">
      <c r="A608" s="1"/>
      <c r="B608" s="1"/>
      <c r="C608" s="27"/>
      <c r="D608" s="31"/>
      <c r="F608" s="30"/>
      <c r="G608" s="30"/>
      <c r="I608" s="30"/>
    </row>
    <row r="609" spans="1:9">
      <c r="A609" s="1"/>
      <c r="B609" s="1"/>
      <c r="C609" s="27"/>
      <c r="D609" s="31"/>
      <c r="F609" s="30"/>
      <c r="G609" s="30"/>
      <c r="I609" s="30"/>
    </row>
    <row r="610" spans="1:9">
      <c r="A610" s="1"/>
      <c r="B610" s="1"/>
      <c r="C610" s="27"/>
      <c r="D610" s="31"/>
      <c r="F610" s="30"/>
      <c r="G610" s="30"/>
      <c r="I610" s="30"/>
    </row>
    <row r="611" spans="1:9">
      <c r="A611" s="1"/>
      <c r="B611" s="1"/>
      <c r="C611" s="27"/>
      <c r="D611" s="31"/>
      <c r="F611" s="30"/>
      <c r="G611" s="30"/>
      <c r="I611" s="30"/>
    </row>
    <row r="612" spans="1:9">
      <c r="A612" s="1"/>
      <c r="B612" s="1"/>
      <c r="C612" s="27"/>
      <c r="D612" s="31"/>
      <c r="F612" s="30"/>
      <c r="G612" s="30"/>
      <c r="I612" s="30"/>
    </row>
    <row r="613" spans="1:9">
      <c r="A613" s="1"/>
      <c r="B613" s="1"/>
      <c r="C613" s="27"/>
      <c r="D613" s="31"/>
      <c r="F613" s="30"/>
      <c r="G613" s="30"/>
      <c r="I613" s="30"/>
    </row>
    <row r="614" spans="1:9">
      <c r="A614" s="1"/>
      <c r="B614" s="1"/>
      <c r="C614" s="27"/>
      <c r="D614" s="31"/>
      <c r="F614" s="30"/>
      <c r="G614" s="30"/>
      <c r="I614" s="30"/>
    </row>
    <row r="615" spans="1:9">
      <c r="A615" s="1"/>
      <c r="B615" s="1"/>
      <c r="C615" s="27"/>
      <c r="D615" s="31"/>
      <c r="F615" s="30"/>
      <c r="G615" s="30"/>
      <c r="I615" s="30"/>
    </row>
    <row r="616" spans="1:9">
      <c r="A616" s="1"/>
      <c r="B616" s="1"/>
      <c r="C616" s="27"/>
      <c r="D616" s="31"/>
      <c r="F616" s="30"/>
      <c r="G616" s="30"/>
      <c r="I616" s="30"/>
    </row>
    <row r="617" spans="1:9">
      <c r="A617" s="1"/>
      <c r="B617" s="1"/>
      <c r="C617" s="27"/>
      <c r="D617" s="31"/>
      <c r="F617" s="30"/>
      <c r="G617" s="30"/>
      <c r="I617" s="30"/>
    </row>
    <row r="618" spans="1:9">
      <c r="A618" s="1"/>
      <c r="B618" s="1"/>
      <c r="C618" s="27"/>
      <c r="D618" s="31"/>
      <c r="F618" s="30"/>
      <c r="G618" s="30"/>
      <c r="I618" s="30"/>
    </row>
    <row r="619" spans="1:9">
      <c r="A619" s="1"/>
      <c r="B619" s="1"/>
      <c r="C619" s="27"/>
      <c r="D619" s="31"/>
      <c r="F619" s="30"/>
      <c r="G619" s="30"/>
      <c r="I619" s="30"/>
    </row>
    <row r="620" spans="1:9">
      <c r="A620" s="1"/>
      <c r="B620" s="1"/>
      <c r="C620" s="27"/>
      <c r="D620" s="31"/>
      <c r="F620" s="30"/>
      <c r="G620" s="30"/>
      <c r="I620" s="30"/>
    </row>
    <row r="621" spans="1:9">
      <c r="A621" s="1"/>
      <c r="B621" s="1"/>
      <c r="C621" s="27"/>
      <c r="D621" s="31"/>
      <c r="F621" s="30"/>
      <c r="G621" s="30"/>
      <c r="I621" s="30"/>
    </row>
    <row r="622" spans="1:9">
      <c r="A622" s="1"/>
      <c r="B622" s="1"/>
      <c r="C622" s="27"/>
      <c r="D622" s="31"/>
      <c r="F622" s="30"/>
      <c r="G622" s="30"/>
      <c r="I622" s="30"/>
    </row>
    <row r="623" spans="1:9">
      <c r="A623" s="1"/>
      <c r="B623" s="1"/>
      <c r="C623" s="27"/>
      <c r="D623" s="31"/>
      <c r="F623" s="30"/>
      <c r="G623" s="30"/>
      <c r="I623" s="30"/>
    </row>
    <row r="624" spans="1:9">
      <c r="A624" s="1"/>
      <c r="B624" s="1"/>
      <c r="C624" s="27"/>
      <c r="D624" s="31"/>
      <c r="F624" s="30"/>
      <c r="G624" s="30"/>
      <c r="I624" s="30"/>
    </row>
    <row r="625" spans="1:9">
      <c r="A625" s="1"/>
      <c r="B625" s="1"/>
      <c r="C625" s="27"/>
      <c r="D625" s="31"/>
      <c r="F625" s="30"/>
      <c r="G625" s="30"/>
      <c r="I625" s="30"/>
    </row>
    <row r="626" spans="1:9">
      <c r="A626" s="1"/>
      <c r="B626" s="1"/>
      <c r="C626" s="27"/>
      <c r="D626" s="31"/>
      <c r="F626" s="30"/>
      <c r="G626" s="30"/>
      <c r="I626" s="30"/>
    </row>
    <row r="627" spans="1:9">
      <c r="A627" s="1"/>
      <c r="B627" s="1"/>
      <c r="C627" s="27"/>
      <c r="D627" s="31"/>
      <c r="F627" s="30"/>
      <c r="G627" s="30"/>
      <c r="I627" s="30"/>
    </row>
    <row r="628" spans="1:9">
      <c r="A628" s="1"/>
      <c r="B628" s="1"/>
      <c r="C628" s="27"/>
      <c r="D628" s="31"/>
      <c r="F628" s="30"/>
      <c r="G628" s="30"/>
      <c r="I628" s="30"/>
    </row>
    <row r="629" spans="1:9">
      <c r="A629" s="1"/>
      <c r="B629" s="1"/>
      <c r="C629" s="27"/>
      <c r="D629" s="31"/>
      <c r="F629" s="30"/>
      <c r="G629" s="30"/>
      <c r="I629" s="30"/>
    </row>
    <row r="630" spans="1:9">
      <c r="A630" s="1"/>
      <c r="B630" s="1"/>
      <c r="C630" s="27"/>
      <c r="D630" s="31"/>
      <c r="F630" s="30"/>
      <c r="G630" s="30"/>
      <c r="I630" s="30"/>
    </row>
    <row r="631" spans="1:9">
      <c r="A631" s="1"/>
      <c r="B631" s="1"/>
      <c r="C631" s="27"/>
      <c r="D631" s="31"/>
      <c r="F631" s="30"/>
      <c r="G631" s="30"/>
      <c r="I631" s="30"/>
    </row>
    <row r="632" spans="1:9">
      <c r="A632" s="1"/>
      <c r="B632" s="1"/>
      <c r="C632" s="27"/>
      <c r="D632" s="31"/>
      <c r="F632" s="30"/>
      <c r="G632" s="30"/>
      <c r="I632" s="30"/>
    </row>
    <row r="633" spans="1:9">
      <c r="A633" s="1"/>
      <c r="B633" s="1"/>
      <c r="C633" s="27"/>
      <c r="D633" s="31"/>
      <c r="F633" s="30"/>
      <c r="G633" s="30"/>
      <c r="I633" s="30"/>
    </row>
    <row r="634" spans="1:9">
      <c r="A634" s="1"/>
      <c r="B634" s="1"/>
      <c r="C634" s="27"/>
      <c r="D634" s="31"/>
      <c r="F634" s="30"/>
      <c r="G634" s="30"/>
      <c r="I634" s="30"/>
    </row>
    <row r="635" spans="1:9">
      <c r="A635" s="1"/>
      <c r="B635" s="1"/>
      <c r="C635" s="27"/>
      <c r="D635" s="31"/>
      <c r="F635" s="30"/>
      <c r="G635" s="30"/>
      <c r="I635" s="30"/>
    </row>
    <row r="636" spans="1:9">
      <c r="A636" s="1"/>
      <c r="B636" s="1"/>
      <c r="C636" s="27"/>
      <c r="D636" s="31"/>
      <c r="F636" s="30"/>
      <c r="G636" s="30"/>
      <c r="I636" s="30"/>
    </row>
    <row r="637" spans="1:9">
      <c r="A637" s="1"/>
      <c r="B637" s="1"/>
      <c r="C637" s="27"/>
      <c r="D637" s="31"/>
      <c r="F637" s="30"/>
      <c r="G637" s="30"/>
      <c r="I637" s="30"/>
    </row>
    <row r="638" spans="1:9">
      <c r="A638" s="1"/>
      <c r="B638" s="1"/>
      <c r="C638" s="27"/>
      <c r="D638" s="31"/>
      <c r="F638" s="30"/>
      <c r="G638" s="30"/>
      <c r="I638" s="30"/>
    </row>
    <row r="639" spans="1:9">
      <c r="A639" s="1"/>
      <c r="B639" s="1"/>
      <c r="C639" s="27"/>
      <c r="D639" s="31"/>
      <c r="F639" s="30"/>
      <c r="G639" s="30"/>
      <c r="I639" s="30"/>
    </row>
    <row r="640" spans="1:9">
      <c r="A640" s="1"/>
      <c r="B640" s="1"/>
      <c r="C640" s="27"/>
      <c r="D640" s="31"/>
      <c r="F640" s="30"/>
      <c r="G640" s="30"/>
      <c r="I640" s="30"/>
    </row>
    <row r="641" spans="1:9">
      <c r="A641" s="1"/>
      <c r="B641" s="1"/>
      <c r="C641" s="27"/>
      <c r="D641" s="31"/>
      <c r="F641" s="30"/>
      <c r="G641" s="30"/>
      <c r="I641" s="30"/>
    </row>
    <row r="642" spans="1:9">
      <c r="A642" s="1"/>
      <c r="B642" s="1"/>
      <c r="C642" s="27"/>
      <c r="D642" s="31"/>
      <c r="F642" s="30"/>
      <c r="G642" s="30"/>
      <c r="I642" s="30"/>
    </row>
    <row r="643" spans="1:9">
      <c r="A643" s="1"/>
      <c r="B643" s="1"/>
      <c r="C643" s="27"/>
      <c r="D643" s="31"/>
      <c r="F643" s="30"/>
      <c r="G643" s="30"/>
      <c r="I643" s="30"/>
    </row>
    <row r="644" spans="1:9">
      <c r="A644" s="1"/>
      <c r="B644" s="1"/>
      <c r="C644" s="27"/>
      <c r="D644" s="31"/>
      <c r="F644" s="30"/>
      <c r="G644" s="30"/>
      <c r="I644" s="30"/>
    </row>
    <row r="645" spans="1:9">
      <c r="A645" s="1"/>
      <c r="B645" s="1"/>
      <c r="C645" s="27"/>
      <c r="D645" s="31"/>
      <c r="F645" s="30"/>
      <c r="G645" s="30"/>
      <c r="I645" s="30"/>
    </row>
    <row r="646" spans="1:9">
      <c r="A646" s="1"/>
      <c r="B646" s="1"/>
      <c r="C646" s="27"/>
      <c r="D646" s="31"/>
      <c r="F646" s="30"/>
      <c r="G646" s="30"/>
      <c r="I646" s="30"/>
    </row>
    <row r="647" spans="1:9">
      <c r="A647" s="1"/>
      <c r="B647" s="1"/>
      <c r="C647" s="27"/>
      <c r="D647" s="31"/>
      <c r="F647" s="30"/>
      <c r="G647" s="30"/>
      <c r="I647" s="30"/>
    </row>
    <row r="648" spans="1:9">
      <c r="A648" s="1"/>
      <c r="B648" s="1"/>
      <c r="C648" s="27"/>
      <c r="D648" s="31"/>
      <c r="F648" s="30"/>
      <c r="G648" s="30"/>
      <c r="I648" s="30"/>
    </row>
    <row r="649" spans="1:9">
      <c r="A649" s="1"/>
      <c r="B649" s="1"/>
      <c r="C649" s="27"/>
      <c r="D649" s="31"/>
      <c r="F649" s="30"/>
      <c r="G649" s="30"/>
      <c r="I649" s="30"/>
    </row>
    <row r="650" spans="1:9">
      <c r="A650" s="1"/>
      <c r="B650" s="1"/>
      <c r="C650" s="27"/>
      <c r="D650" s="31"/>
      <c r="F650" s="30"/>
      <c r="G650" s="30"/>
      <c r="I650" s="30"/>
    </row>
    <row r="651" spans="1:9">
      <c r="A651" s="1"/>
      <c r="B651" s="1"/>
      <c r="C651" s="27"/>
      <c r="D651" s="31"/>
      <c r="F651" s="30"/>
      <c r="G651" s="30"/>
      <c r="I651" s="30"/>
    </row>
    <row r="652" spans="1:9">
      <c r="A652" s="1"/>
      <c r="B652" s="1"/>
      <c r="C652" s="27"/>
      <c r="D652" s="31"/>
      <c r="F652" s="30"/>
      <c r="G652" s="30"/>
      <c r="I652" s="30"/>
    </row>
    <row r="653" spans="1:9">
      <c r="A653" s="1"/>
      <c r="B653" s="1"/>
      <c r="C653" s="27"/>
      <c r="D653" s="31"/>
      <c r="F653" s="30"/>
      <c r="G653" s="30"/>
      <c r="I653" s="30"/>
    </row>
    <row r="654" spans="1:9">
      <c r="A654" s="1"/>
      <c r="B654" s="1"/>
      <c r="C654" s="27"/>
      <c r="D654" s="31"/>
      <c r="F654" s="30"/>
      <c r="G654" s="30"/>
      <c r="I654" s="30"/>
    </row>
    <row r="655" spans="1:9">
      <c r="A655" s="1"/>
      <c r="B655" s="1"/>
      <c r="C655" s="27"/>
      <c r="D655" s="31"/>
      <c r="F655" s="30"/>
      <c r="G655" s="30"/>
      <c r="I655" s="30"/>
    </row>
    <row r="656" spans="1:9">
      <c r="A656" s="1"/>
      <c r="B656" s="1"/>
      <c r="C656" s="27"/>
      <c r="D656" s="31"/>
      <c r="F656" s="30"/>
      <c r="G656" s="30"/>
      <c r="I656" s="30"/>
    </row>
    <row r="657" spans="1:9">
      <c r="A657" s="1"/>
      <c r="B657" s="1"/>
      <c r="C657" s="27"/>
      <c r="D657" s="31"/>
      <c r="F657" s="30"/>
      <c r="G657" s="30"/>
      <c r="I657" s="30"/>
    </row>
    <row r="658" spans="1:9">
      <c r="A658" s="1"/>
      <c r="B658" s="1"/>
      <c r="C658" s="27"/>
      <c r="D658" s="31"/>
      <c r="F658" s="30"/>
      <c r="G658" s="30"/>
      <c r="I658" s="30"/>
    </row>
    <row r="659" spans="1:9">
      <c r="A659" s="1"/>
      <c r="B659" s="1"/>
      <c r="C659" s="27"/>
      <c r="D659" s="31"/>
      <c r="F659" s="30"/>
      <c r="G659" s="30"/>
      <c r="I659" s="30"/>
    </row>
    <row r="660" spans="1:9">
      <c r="A660" s="1"/>
      <c r="B660" s="1"/>
      <c r="C660" s="27"/>
      <c r="D660" s="31"/>
      <c r="F660" s="30"/>
      <c r="G660" s="30"/>
      <c r="I660" s="30"/>
    </row>
    <row r="661" spans="1:9">
      <c r="A661" s="1"/>
      <c r="B661" s="1"/>
      <c r="C661" s="27"/>
      <c r="D661" s="31"/>
      <c r="F661" s="30"/>
      <c r="G661" s="30"/>
      <c r="I661" s="30"/>
    </row>
    <row r="662" spans="1:9">
      <c r="A662" s="1"/>
      <c r="B662" s="1"/>
      <c r="C662" s="27"/>
      <c r="D662" s="31"/>
      <c r="F662" s="30"/>
      <c r="G662" s="30"/>
      <c r="I662" s="30"/>
    </row>
    <row r="663" spans="1:9">
      <c r="A663" s="1"/>
      <c r="B663" s="1"/>
      <c r="C663" s="27"/>
      <c r="D663" s="31"/>
      <c r="F663" s="30"/>
      <c r="G663" s="30"/>
      <c r="I663" s="30"/>
    </row>
    <row r="664" spans="1:9">
      <c r="A664" s="1"/>
      <c r="B664" s="1"/>
      <c r="C664" s="27"/>
      <c r="D664" s="31"/>
      <c r="F664" s="30"/>
      <c r="G664" s="30"/>
      <c r="I664" s="30"/>
    </row>
    <row r="665" spans="1:9">
      <c r="A665" s="1"/>
      <c r="B665" s="1"/>
      <c r="C665" s="27"/>
      <c r="D665" s="31"/>
      <c r="F665" s="30"/>
      <c r="G665" s="30"/>
      <c r="I665" s="30"/>
    </row>
    <row r="666" spans="1:9">
      <c r="A666" s="1"/>
      <c r="B666" s="1"/>
      <c r="C666" s="27"/>
      <c r="D666" s="31"/>
      <c r="F666" s="30"/>
      <c r="G666" s="30"/>
      <c r="I666" s="30"/>
    </row>
    <row r="667" spans="1:9">
      <c r="A667" s="1"/>
      <c r="B667" s="1"/>
      <c r="C667" s="27"/>
      <c r="D667" s="31"/>
      <c r="F667" s="30"/>
      <c r="G667" s="30"/>
      <c r="I667" s="30"/>
    </row>
    <row r="668" spans="1:9">
      <c r="A668" s="1"/>
      <c r="B668" s="1"/>
      <c r="C668" s="27"/>
      <c r="D668" s="31"/>
      <c r="F668" s="30"/>
      <c r="G668" s="30"/>
      <c r="I668" s="30"/>
    </row>
    <row r="669" spans="1:9">
      <c r="A669" s="1"/>
      <c r="B669" s="1"/>
      <c r="C669" s="27"/>
      <c r="D669" s="31"/>
      <c r="F669" s="30"/>
      <c r="G669" s="30"/>
      <c r="I669" s="30"/>
    </row>
    <row r="670" spans="1:9">
      <c r="A670" s="1"/>
      <c r="B670" s="1"/>
      <c r="C670" s="27"/>
      <c r="D670" s="31"/>
      <c r="F670" s="30"/>
      <c r="G670" s="30"/>
      <c r="I670" s="30"/>
    </row>
    <row r="671" spans="1:9">
      <c r="A671" s="1"/>
      <c r="B671" s="1"/>
      <c r="C671" s="27"/>
      <c r="D671" s="31"/>
      <c r="F671" s="30"/>
      <c r="G671" s="30"/>
      <c r="I671" s="30"/>
    </row>
    <row r="672" spans="1:9">
      <c r="A672" s="1"/>
      <c r="B672" s="1"/>
      <c r="C672" s="27"/>
      <c r="D672" s="31"/>
      <c r="F672" s="30"/>
      <c r="G672" s="30"/>
      <c r="I672" s="30"/>
    </row>
    <row r="673" spans="1:9">
      <c r="A673" s="1"/>
      <c r="B673" s="1"/>
      <c r="C673" s="27"/>
      <c r="D673" s="31"/>
      <c r="F673" s="30"/>
      <c r="G673" s="30"/>
      <c r="I673" s="30"/>
    </row>
    <row r="674" spans="1:9">
      <c r="A674" s="1"/>
      <c r="B674" s="1"/>
      <c r="C674" s="27"/>
      <c r="D674" s="31"/>
      <c r="F674" s="30"/>
      <c r="G674" s="30"/>
      <c r="I674" s="30"/>
    </row>
    <row r="675" spans="1:9">
      <c r="A675" s="1"/>
      <c r="B675" s="1"/>
      <c r="C675" s="27"/>
      <c r="D675" s="31"/>
      <c r="F675" s="30"/>
      <c r="G675" s="30"/>
      <c r="I675" s="30"/>
    </row>
    <row r="676" spans="1:9">
      <c r="A676" s="1"/>
      <c r="B676" s="1"/>
      <c r="C676" s="27"/>
      <c r="D676" s="31"/>
      <c r="F676" s="30"/>
      <c r="G676" s="30"/>
      <c r="I676" s="30"/>
    </row>
    <row r="677" spans="1:9">
      <c r="A677" s="1"/>
      <c r="B677" s="1"/>
      <c r="C677" s="27"/>
      <c r="D677" s="31"/>
      <c r="F677" s="30"/>
      <c r="G677" s="30"/>
      <c r="I677" s="30"/>
    </row>
    <row r="678" spans="1:9">
      <c r="A678" s="1"/>
      <c r="B678" s="1"/>
      <c r="C678" s="27"/>
      <c r="D678" s="31"/>
      <c r="F678" s="30"/>
      <c r="G678" s="30"/>
      <c r="I678" s="30"/>
    </row>
    <row r="679" spans="1:9">
      <c r="A679" s="1"/>
      <c r="B679" s="1"/>
      <c r="C679" s="27"/>
      <c r="D679" s="31"/>
      <c r="F679" s="30"/>
      <c r="G679" s="30"/>
      <c r="I679" s="30"/>
    </row>
    <row r="680" spans="1:9">
      <c r="A680" s="1"/>
      <c r="B680" s="1"/>
      <c r="C680" s="27"/>
      <c r="D680" s="31"/>
      <c r="F680" s="30"/>
      <c r="G680" s="30"/>
      <c r="I680" s="30"/>
    </row>
    <row r="681" spans="1:9">
      <c r="A681" s="1"/>
      <c r="B681" s="1"/>
      <c r="C681" s="27"/>
      <c r="D681" s="31"/>
      <c r="F681" s="30"/>
      <c r="G681" s="30"/>
      <c r="I681" s="30"/>
    </row>
    <row r="682" spans="1:9">
      <c r="A682" s="1"/>
      <c r="B682" s="1"/>
      <c r="C682" s="27"/>
      <c r="D682" s="31"/>
      <c r="F682" s="30"/>
      <c r="G682" s="30"/>
      <c r="I682" s="30"/>
    </row>
    <row r="683" spans="1:9">
      <c r="A683" s="1"/>
      <c r="B683" s="1"/>
      <c r="C683" s="27"/>
      <c r="D683" s="31"/>
      <c r="F683" s="30"/>
      <c r="G683" s="30"/>
      <c r="I683" s="30"/>
    </row>
    <row r="684" spans="1:9">
      <c r="A684" s="1"/>
      <c r="B684" s="1"/>
      <c r="C684" s="27"/>
      <c r="D684" s="31"/>
      <c r="F684" s="30"/>
      <c r="G684" s="30"/>
      <c r="I684" s="30"/>
    </row>
    <row r="685" spans="1:9">
      <c r="A685" s="1"/>
      <c r="B685" s="1"/>
      <c r="C685" s="27"/>
      <c r="D685" s="31"/>
      <c r="F685" s="30"/>
      <c r="G685" s="30"/>
      <c r="I685" s="30"/>
    </row>
    <row r="686" spans="1:9">
      <c r="A686" s="1"/>
      <c r="B686" s="1"/>
      <c r="C686" s="27"/>
      <c r="D686" s="31"/>
      <c r="F686" s="30"/>
      <c r="G686" s="30"/>
      <c r="I686" s="30"/>
    </row>
    <row r="687" spans="1:9">
      <c r="A687" s="1"/>
      <c r="B687" s="1"/>
      <c r="C687" s="27"/>
      <c r="D687" s="31"/>
      <c r="F687" s="30"/>
      <c r="G687" s="30"/>
      <c r="I687" s="30"/>
    </row>
    <row r="688" spans="1:9">
      <c r="A688" s="1"/>
      <c r="B688" s="1"/>
      <c r="C688" s="27"/>
      <c r="D688" s="31"/>
      <c r="F688" s="30"/>
      <c r="G688" s="30"/>
      <c r="I688" s="30"/>
    </row>
    <row r="689" spans="1:9">
      <c r="A689" s="1"/>
      <c r="B689" s="1"/>
      <c r="C689" s="27"/>
      <c r="D689" s="31"/>
      <c r="F689" s="30"/>
      <c r="G689" s="30"/>
      <c r="I689" s="30"/>
    </row>
    <row r="690" spans="1:9">
      <c r="A690" s="1"/>
      <c r="B690" s="1"/>
      <c r="C690" s="27"/>
      <c r="D690" s="31"/>
      <c r="F690" s="30"/>
      <c r="G690" s="30"/>
      <c r="I690" s="30"/>
    </row>
    <row r="691" spans="1:9">
      <c r="A691" s="1"/>
      <c r="B691" s="1"/>
      <c r="C691" s="27"/>
      <c r="D691" s="31"/>
      <c r="F691" s="30"/>
      <c r="G691" s="30"/>
      <c r="I691" s="30"/>
    </row>
    <row r="692" spans="1:9">
      <c r="A692" s="1"/>
      <c r="B692" s="1"/>
      <c r="C692" s="27"/>
      <c r="D692" s="31"/>
      <c r="F692" s="30"/>
      <c r="G692" s="30"/>
      <c r="I692" s="30"/>
    </row>
    <row r="693" spans="1:9">
      <c r="A693" s="1"/>
      <c r="B693" s="1"/>
      <c r="C693" s="27"/>
      <c r="D693" s="31"/>
      <c r="F693" s="30"/>
      <c r="G693" s="30"/>
      <c r="I693" s="30"/>
    </row>
    <row r="694" spans="1:9">
      <c r="A694" s="1"/>
      <c r="B694" s="1"/>
      <c r="C694" s="27"/>
      <c r="D694" s="31"/>
      <c r="F694" s="30"/>
      <c r="G694" s="30"/>
      <c r="I694" s="30"/>
    </row>
    <row r="695" spans="1:9">
      <c r="A695" s="1"/>
      <c r="B695" s="1"/>
      <c r="C695" s="27"/>
      <c r="D695" s="31"/>
      <c r="F695" s="30"/>
      <c r="G695" s="30"/>
      <c r="I695" s="30"/>
    </row>
    <row r="696" spans="1:9">
      <c r="A696" s="1"/>
      <c r="B696" s="1"/>
      <c r="C696" s="27"/>
      <c r="D696" s="31"/>
      <c r="F696" s="30"/>
      <c r="G696" s="30"/>
      <c r="I696" s="30"/>
    </row>
    <row r="697" spans="1:9">
      <c r="A697" s="1"/>
      <c r="B697" s="1"/>
      <c r="C697" s="27"/>
      <c r="D697" s="31"/>
      <c r="F697" s="30"/>
      <c r="G697" s="30"/>
      <c r="I697" s="30"/>
    </row>
    <row r="698" spans="1:9">
      <c r="A698" s="1"/>
      <c r="B698" s="1"/>
      <c r="C698" s="27"/>
      <c r="D698" s="31"/>
      <c r="F698" s="30"/>
      <c r="G698" s="30"/>
      <c r="I698" s="30"/>
    </row>
    <row r="699" spans="1:9">
      <c r="A699" s="1"/>
      <c r="B699" s="1"/>
      <c r="C699" s="27"/>
      <c r="D699" s="31"/>
      <c r="F699" s="30"/>
      <c r="G699" s="30"/>
      <c r="I699" s="30"/>
    </row>
    <row r="700" spans="1:9">
      <c r="A700" s="1"/>
      <c r="B700" s="1"/>
      <c r="C700" s="27"/>
      <c r="D700" s="31"/>
      <c r="F700" s="30"/>
      <c r="G700" s="30"/>
      <c r="I700" s="30"/>
    </row>
    <row r="701" spans="1:9">
      <c r="A701" s="1"/>
      <c r="B701" s="1"/>
      <c r="C701" s="27"/>
      <c r="D701" s="31"/>
      <c r="F701" s="30"/>
      <c r="G701" s="30"/>
      <c r="I701" s="30"/>
    </row>
    <row r="702" spans="1:9">
      <c r="A702" s="1"/>
      <c r="B702" s="1"/>
      <c r="C702" s="27"/>
      <c r="D702" s="31"/>
      <c r="F702" s="30"/>
      <c r="G702" s="30"/>
      <c r="I702" s="30"/>
    </row>
    <row r="703" spans="1:9">
      <c r="A703" s="1"/>
      <c r="B703" s="1"/>
      <c r="C703" s="27"/>
      <c r="D703" s="31"/>
      <c r="F703" s="30"/>
      <c r="G703" s="30"/>
      <c r="I703" s="30"/>
    </row>
    <row r="704" spans="1:9">
      <c r="A704" s="1"/>
      <c r="B704" s="1"/>
      <c r="C704" s="27"/>
      <c r="D704" s="31"/>
      <c r="F704" s="30"/>
      <c r="G704" s="30"/>
      <c r="I704" s="30"/>
    </row>
    <row r="705" spans="1:9">
      <c r="A705" s="1"/>
      <c r="B705" s="1"/>
      <c r="C705" s="27"/>
      <c r="D705" s="31"/>
      <c r="F705" s="30"/>
      <c r="G705" s="30"/>
      <c r="I705" s="30"/>
    </row>
    <row r="706" spans="1:9">
      <c r="A706" s="1"/>
      <c r="B706" s="1"/>
      <c r="C706" s="27"/>
      <c r="D706" s="31"/>
      <c r="F706" s="30"/>
      <c r="G706" s="30"/>
      <c r="I706" s="30"/>
    </row>
    <row r="707" spans="1:9">
      <c r="A707" s="1"/>
      <c r="B707" s="1"/>
      <c r="C707" s="27"/>
      <c r="D707" s="31"/>
      <c r="F707" s="30"/>
      <c r="G707" s="30"/>
      <c r="I707" s="30"/>
    </row>
    <row r="708" spans="1:9">
      <c r="A708" s="1"/>
      <c r="B708" s="1"/>
      <c r="C708" s="27"/>
      <c r="D708" s="31"/>
      <c r="F708" s="30"/>
      <c r="G708" s="30"/>
      <c r="I708" s="30"/>
    </row>
    <row r="709" spans="1:9">
      <c r="A709" s="1"/>
      <c r="B709" s="1"/>
      <c r="C709" s="27"/>
      <c r="D709" s="31"/>
      <c r="F709" s="30"/>
      <c r="G709" s="30"/>
      <c r="I709" s="30"/>
    </row>
    <row r="710" spans="1:9">
      <c r="A710" s="1"/>
      <c r="B710" s="1"/>
      <c r="C710" s="27"/>
      <c r="D710" s="31"/>
      <c r="F710" s="30"/>
      <c r="G710" s="30"/>
      <c r="I710" s="30"/>
    </row>
    <row r="711" spans="1:9">
      <c r="A711" s="1"/>
      <c r="B711" s="1"/>
      <c r="C711" s="27"/>
      <c r="D711" s="31"/>
      <c r="F711" s="30"/>
      <c r="G711" s="30"/>
      <c r="I711" s="30"/>
    </row>
    <row r="712" spans="1:9">
      <c r="A712" s="1"/>
      <c r="B712" s="1"/>
      <c r="C712" s="27"/>
      <c r="D712" s="31"/>
      <c r="F712" s="30"/>
      <c r="G712" s="30"/>
      <c r="I712" s="30"/>
    </row>
    <row r="713" spans="1:9">
      <c r="A713" s="1"/>
      <c r="B713" s="1"/>
      <c r="C713" s="27"/>
      <c r="D713" s="31"/>
      <c r="F713" s="30"/>
      <c r="G713" s="30"/>
      <c r="I713" s="30"/>
    </row>
    <row r="714" spans="1:9">
      <c r="A714" s="1"/>
      <c r="B714" s="1"/>
      <c r="C714" s="27"/>
      <c r="D714" s="31"/>
      <c r="F714" s="30"/>
      <c r="G714" s="30"/>
      <c r="I714" s="30"/>
    </row>
    <row r="715" spans="1:9">
      <c r="A715" s="1"/>
      <c r="B715" s="1"/>
      <c r="C715" s="27"/>
      <c r="D715" s="31"/>
      <c r="F715" s="30"/>
      <c r="G715" s="30"/>
      <c r="I715" s="30"/>
    </row>
    <row r="716" spans="1:9">
      <c r="A716" s="1"/>
      <c r="B716" s="1"/>
      <c r="C716" s="27"/>
      <c r="D716" s="31"/>
      <c r="F716" s="30"/>
      <c r="G716" s="30"/>
      <c r="I716" s="30"/>
    </row>
    <row r="717" spans="1:9">
      <c r="A717" s="1"/>
      <c r="B717" s="1"/>
      <c r="C717" s="27"/>
      <c r="D717" s="31"/>
      <c r="F717" s="30"/>
      <c r="G717" s="30"/>
      <c r="I717" s="30"/>
    </row>
    <row r="718" spans="1:9">
      <c r="A718" s="1"/>
      <c r="B718" s="1"/>
      <c r="C718" s="27"/>
      <c r="D718" s="31"/>
      <c r="F718" s="30"/>
      <c r="G718" s="30"/>
      <c r="I718" s="30"/>
    </row>
    <row r="719" spans="1:9">
      <c r="A719" s="1"/>
      <c r="B719" s="1"/>
      <c r="C719" s="27"/>
      <c r="D719" s="31"/>
      <c r="F719" s="30"/>
      <c r="G719" s="30"/>
      <c r="I719" s="30"/>
    </row>
    <row r="720" spans="1:9">
      <c r="A720" s="1"/>
      <c r="B720" s="1"/>
      <c r="C720" s="27"/>
      <c r="D720" s="31"/>
      <c r="F720" s="30"/>
      <c r="G720" s="30"/>
      <c r="I720" s="30"/>
    </row>
    <row r="721" spans="1:9">
      <c r="A721" s="1"/>
      <c r="B721" s="1"/>
      <c r="C721" s="27"/>
      <c r="D721" s="31"/>
      <c r="F721" s="30"/>
      <c r="G721" s="30"/>
      <c r="I721" s="30"/>
    </row>
    <row r="722" spans="1:9">
      <c r="A722" s="1"/>
      <c r="B722" s="1"/>
      <c r="C722" s="27"/>
      <c r="D722" s="31"/>
      <c r="F722" s="30"/>
      <c r="G722" s="30"/>
      <c r="I722" s="30"/>
    </row>
    <row r="723" spans="1:9">
      <c r="A723" s="1"/>
      <c r="B723" s="1"/>
      <c r="C723" s="27"/>
      <c r="D723" s="31"/>
      <c r="F723" s="30"/>
      <c r="G723" s="30"/>
      <c r="I723" s="30"/>
    </row>
    <row r="724" spans="1:9">
      <c r="A724" s="1"/>
      <c r="B724" s="1"/>
      <c r="C724" s="27"/>
      <c r="D724" s="31"/>
      <c r="F724" s="30"/>
      <c r="G724" s="30"/>
      <c r="I724" s="30"/>
    </row>
    <row r="725" spans="1:9">
      <c r="A725" s="1"/>
      <c r="B725" s="1"/>
      <c r="C725" s="27"/>
      <c r="D725" s="31"/>
      <c r="F725" s="30"/>
      <c r="G725" s="30"/>
      <c r="I725" s="30"/>
    </row>
    <row r="726" spans="1:9">
      <c r="A726" s="1"/>
      <c r="B726" s="1"/>
      <c r="C726" s="27"/>
      <c r="D726" s="31"/>
      <c r="F726" s="30"/>
      <c r="G726" s="30"/>
      <c r="I726" s="30"/>
    </row>
    <row r="727" spans="1:9">
      <c r="A727" s="1"/>
      <c r="B727" s="1"/>
      <c r="C727" s="27"/>
      <c r="D727" s="31"/>
      <c r="F727" s="30"/>
      <c r="G727" s="30"/>
      <c r="I727" s="30"/>
    </row>
    <row r="728" spans="1:9">
      <c r="A728" s="1"/>
      <c r="B728" s="1"/>
      <c r="C728" s="27"/>
      <c r="D728" s="31"/>
      <c r="F728" s="30"/>
      <c r="G728" s="30"/>
      <c r="I728" s="30"/>
    </row>
    <row r="729" spans="1:9">
      <c r="A729" s="1"/>
      <c r="B729" s="1"/>
      <c r="C729" s="27"/>
      <c r="D729" s="31"/>
      <c r="F729" s="30"/>
      <c r="G729" s="30"/>
      <c r="I729" s="30"/>
    </row>
    <row r="730" spans="1:9">
      <c r="A730" s="1"/>
      <c r="B730" s="1"/>
      <c r="C730" s="27"/>
      <c r="D730" s="31"/>
      <c r="F730" s="30"/>
      <c r="G730" s="30"/>
      <c r="I730" s="30"/>
    </row>
    <row r="731" spans="1:9">
      <c r="A731" s="1"/>
      <c r="B731" s="1"/>
      <c r="C731" s="27"/>
      <c r="D731" s="31"/>
      <c r="F731" s="30"/>
      <c r="G731" s="30"/>
      <c r="I731" s="30"/>
    </row>
    <row r="732" spans="1:9">
      <c r="A732" s="1"/>
      <c r="B732" s="1"/>
      <c r="C732" s="27"/>
      <c r="D732" s="31"/>
      <c r="F732" s="30"/>
      <c r="G732" s="30"/>
      <c r="I732" s="30"/>
    </row>
    <row r="733" spans="1:9">
      <c r="A733" s="1"/>
      <c r="B733" s="1"/>
      <c r="C733" s="27"/>
      <c r="D733" s="31"/>
      <c r="F733" s="30"/>
      <c r="G733" s="30"/>
      <c r="I733" s="30"/>
    </row>
    <row r="734" spans="1:9">
      <c r="A734" s="1"/>
      <c r="B734" s="1"/>
      <c r="C734" s="27"/>
      <c r="D734" s="31"/>
      <c r="F734" s="30"/>
      <c r="G734" s="30"/>
      <c r="I734" s="30"/>
    </row>
    <row r="735" spans="1:9">
      <c r="A735" s="1"/>
      <c r="B735" s="1"/>
      <c r="C735" s="27"/>
      <c r="D735" s="31"/>
      <c r="F735" s="30"/>
      <c r="G735" s="30"/>
      <c r="I735" s="30"/>
    </row>
    <row r="736" spans="1:9">
      <c r="A736" s="1"/>
      <c r="B736" s="1"/>
      <c r="C736" s="27"/>
      <c r="D736" s="31"/>
      <c r="F736" s="30"/>
      <c r="G736" s="30"/>
      <c r="I736" s="30"/>
    </row>
    <row r="737" spans="1:9">
      <c r="A737" s="1"/>
      <c r="B737" s="1"/>
      <c r="C737" s="27"/>
      <c r="D737" s="31"/>
      <c r="F737" s="30"/>
      <c r="G737" s="30"/>
      <c r="I737" s="30"/>
    </row>
    <row r="738" spans="1:9">
      <c r="A738" s="1"/>
      <c r="B738" s="1"/>
      <c r="C738" s="27"/>
      <c r="D738" s="31"/>
      <c r="F738" s="30"/>
      <c r="G738" s="30"/>
      <c r="I738" s="30"/>
    </row>
    <row r="739" spans="1:9">
      <c r="A739" s="1"/>
      <c r="B739" s="1"/>
      <c r="C739" s="27"/>
      <c r="D739" s="31"/>
      <c r="F739" s="30"/>
      <c r="G739" s="30"/>
      <c r="I739" s="30"/>
    </row>
    <row r="740" spans="1:9">
      <c r="A740" s="1"/>
      <c r="B740" s="1"/>
      <c r="C740" s="27"/>
      <c r="D740" s="31"/>
      <c r="F740" s="30"/>
      <c r="G740" s="30"/>
      <c r="I740" s="30"/>
    </row>
    <row r="741" spans="1:9">
      <c r="A741" s="1"/>
      <c r="B741" s="1"/>
      <c r="C741" s="27"/>
      <c r="D741" s="31"/>
      <c r="F741" s="30"/>
      <c r="G741" s="30"/>
      <c r="I741" s="30"/>
    </row>
    <row r="742" spans="1:9">
      <c r="A742" s="1"/>
      <c r="B742" s="1"/>
      <c r="C742" s="27"/>
      <c r="D742" s="31"/>
      <c r="F742" s="30"/>
      <c r="G742" s="30"/>
      <c r="I742" s="30"/>
    </row>
    <row r="743" spans="1:9">
      <c r="A743" s="1"/>
      <c r="B743" s="1"/>
      <c r="C743" s="27"/>
      <c r="D743" s="31"/>
      <c r="F743" s="30"/>
      <c r="G743" s="30"/>
      <c r="I743" s="30"/>
    </row>
    <row r="744" spans="1:9">
      <c r="A744" s="1"/>
      <c r="B744" s="1"/>
      <c r="C744" s="27"/>
      <c r="D744" s="31"/>
      <c r="F744" s="30"/>
      <c r="G744" s="30"/>
      <c r="I744" s="30"/>
    </row>
    <row r="745" spans="1:9">
      <c r="A745" s="1"/>
      <c r="B745" s="1"/>
      <c r="C745" s="27"/>
      <c r="D745" s="31"/>
      <c r="F745" s="30"/>
      <c r="G745" s="30"/>
      <c r="I745" s="30"/>
    </row>
    <row r="746" spans="1:9">
      <c r="A746" s="1"/>
      <c r="B746" s="1"/>
      <c r="C746" s="27"/>
      <c r="D746" s="31"/>
      <c r="F746" s="30"/>
      <c r="G746" s="30"/>
      <c r="I746" s="30"/>
    </row>
    <row r="747" spans="1:9">
      <c r="A747" s="1"/>
      <c r="B747" s="1"/>
      <c r="C747" s="27"/>
      <c r="D747" s="31"/>
      <c r="F747" s="30"/>
      <c r="G747" s="30"/>
      <c r="I747" s="30"/>
    </row>
    <row r="748" spans="1:9">
      <c r="A748" s="1"/>
      <c r="B748" s="1"/>
      <c r="C748" s="27"/>
      <c r="D748" s="31"/>
      <c r="F748" s="30"/>
      <c r="G748" s="30"/>
      <c r="I748" s="30"/>
    </row>
    <row r="749" spans="1:9">
      <c r="A749" s="1"/>
      <c r="B749" s="1"/>
      <c r="C749" s="27"/>
      <c r="D749" s="31"/>
      <c r="F749" s="30"/>
      <c r="G749" s="30"/>
      <c r="I749" s="30"/>
    </row>
    <row r="750" spans="1:9">
      <c r="A750" s="1"/>
      <c r="B750" s="1"/>
      <c r="C750" s="27"/>
      <c r="D750" s="31"/>
      <c r="F750" s="30"/>
      <c r="G750" s="30"/>
      <c r="I750" s="30"/>
    </row>
    <row r="751" spans="1:9">
      <c r="A751" s="1"/>
      <c r="B751" s="1"/>
      <c r="C751" s="27"/>
      <c r="D751" s="31"/>
      <c r="F751" s="30"/>
      <c r="G751" s="30"/>
      <c r="I751" s="30"/>
    </row>
    <row r="752" spans="1:9">
      <c r="A752" s="1"/>
      <c r="B752" s="1"/>
      <c r="C752" s="27"/>
      <c r="D752" s="31"/>
      <c r="F752" s="30"/>
      <c r="G752" s="30"/>
      <c r="I752" s="30"/>
    </row>
    <row r="753" spans="1:9">
      <c r="A753" s="1"/>
      <c r="B753" s="1"/>
      <c r="C753" s="27"/>
      <c r="D753" s="31"/>
      <c r="F753" s="30"/>
      <c r="G753" s="30"/>
      <c r="I753" s="30"/>
    </row>
    <row r="754" spans="1:9">
      <c r="A754" s="1"/>
      <c r="B754" s="1"/>
      <c r="C754" s="27"/>
      <c r="D754" s="31"/>
      <c r="F754" s="30"/>
      <c r="G754" s="30"/>
      <c r="I754" s="30"/>
    </row>
    <row r="755" spans="1:9">
      <c r="A755" s="1"/>
      <c r="B755" s="1"/>
      <c r="C755" s="27"/>
      <c r="D755" s="31"/>
      <c r="F755" s="30"/>
      <c r="G755" s="30"/>
      <c r="I755" s="30"/>
    </row>
    <row r="756" spans="1:9">
      <c r="A756" s="1"/>
      <c r="B756" s="1"/>
      <c r="C756" s="27"/>
      <c r="D756" s="31"/>
      <c r="F756" s="30"/>
      <c r="G756" s="30"/>
      <c r="I756" s="30"/>
    </row>
    <row r="757" spans="1:9">
      <c r="A757" s="1"/>
      <c r="B757" s="1"/>
      <c r="C757" s="27"/>
      <c r="D757" s="31"/>
      <c r="F757" s="30"/>
      <c r="G757" s="30"/>
      <c r="I757" s="30"/>
    </row>
    <row r="758" spans="1:9">
      <c r="A758" s="1"/>
      <c r="B758" s="1"/>
      <c r="C758" s="27"/>
      <c r="D758" s="31"/>
      <c r="F758" s="30"/>
      <c r="G758" s="30"/>
      <c r="I758" s="30"/>
    </row>
    <row r="759" spans="1:9">
      <c r="A759" s="1"/>
      <c r="B759" s="1"/>
      <c r="C759" s="27"/>
      <c r="D759" s="31"/>
      <c r="F759" s="30"/>
      <c r="G759" s="30"/>
      <c r="I759" s="30"/>
    </row>
    <row r="760" spans="1:9">
      <c r="A760" s="1"/>
      <c r="B760" s="1"/>
      <c r="C760" s="27"/>
      <c r="D760" s="31"/>
      <c r="F760" s="30"/>
      <c r="G760" s="30"/>
      <c r="I760" s="30"/>
    </row>
    <row r="761" spans="1:9">
      <c r="A761" s="1"/>
      <c r="B761" s="1"/>
      <c r="C761" s="27"/>
      <c r="D761" s="31"/>
      <c r="F761" s="30"/>
      <c r="G761" s="30"/>
      <c r="I761" s="30"/>
    </row>
    <row r="762" spans="1:9">
      <c r="A762" s="1"/>
      <c r="B762" s="1"/>
      <c r="C762" s="27"/>
      <c r="D762" s="31"/>
      <c r="F762" s="30"/>
      <c r="G762" s="30"/>
      <c r="I762" s="30"/>
    </row>
    <row r="763" spans="1:9">
      <c r="A763" s="1"/>
      <c r="B763" s="1"/>
      <c r="C763" s="27"/>
      <c r="D763" s="31"/>
      <c r="F763" s="30"/>
      <c r="G763" s="30"/>
      <c r="I763" s="30"/>
    </row>
    <row r="764" spans="1:9">
      <c r="A764" s="1"/>
      <c r="B764" s="1"/>
      <c r="C764" s="27"/>
      <c r="D764" s="31"/>
      <c r="F764" s="30"/>
      <c r="G764" s="30"/>
      <c r="I764" s="30"/>
    </row>
    <row r="765" spans="1:9">
      <c r="A765" s="1"/>
      <c r="B765" s="1"/>
      <c r="C765" s="27"/>
      <c r="D765" s="31"/>
      <c r="F765" s="30"/>
      <c r="G765" s="30"/>
      <c r="I765" s="30"/>
    </row>
    <row r="766" spans="1:9">
      <c r="A766" s="1"/>
      <c r="B766" s="1"/>
      <c r="C766" s="27"/>
      <c r="D766" s="31"/>
      <c r="F766" s="30"/>
      <c r="G766" s="30"/>
      <c r="I766" s="30"/>
    </row>
    <row r="767" spans="1:9">
      <c r="A767" s="1"/>
      <c r="B767" s="1"/>
      <c r="C767" s="27"/>
      <c r="D767" s="31"/>
      <c r="F767" s="30"/>
      <c r="G767" s="30"/>
      <c r="I767" s="30"/>
    </row>
    <row r="768" spans="1:9">
      <c r="A768" s="1"/>
      <c r="B768" s="1"/>
      <c r="C768" s="27"/>
      <c r="D768" s="31"/>
      <c r="F768" s="30"/>
      <c r="G768" s="30"/>
      <c r="I768" s="30"/>
    </row>
    <row r="769" spans="1:9">
      <c r="A769" s="1"/>
      <c r="B769" s="1"/>
      <c r="C769" s="27"/>
      <c r="D769" s="31"/>
      <c r="F769" s="30"/>
      <c r="G769" s="30"/>
      <c r="I769" s="30"/>
    </row>
    <row r="770" spans="1:9">
      <c r="A770" s="1"/>
      <c r="B770" s="1"/>
      <c r="C770" s="27"/>
      <c r="D770" s="31"/>
      <c r="F770" s="30"/>
      <c r="G770" s="30"/>
      <c r="I770" s="30"/>
    </row>
    <row r="771" spans="1:9">
      <c r="A771" s="1"/>
      <c r="B771" s="1"/>
      <c r="C771" s="27"/>
      <c r="D771" s="31"/>
      <c r="F771" s="30"/>
      <c r="G771" s="30"/>
      <c r="I771" s="30"/>
    </row>
    <row r="772" spans="1:9">
      <c r="A772" s="1"/>
      <c r="B772" s="1"/>
      <c r="C772" s="27"/>
      <c r="D772" s="31"/>
      <c r="F772" s="30"/>
      <c r="G772" s="30"/>
      <c r="I772" s="30"/>
    </row>
    <row r="773" spans="1:9">
      <c r="A773" s="1"/>
      <c r="B773" s="1"/>
      <c r="C773" s="27"/>
      <c r="D773" s="31"/>
      <c r="F773" s="30"/>
      <c r="G773" s="30"/>
      <c r="I773" s="30"/>
    </row>
    <row r="774" spans="1:9">
      <c r="A774" s="1"/>
      <c r="B774" s="1"/>
      <c r="C774" s="27"/>
      <c r="D774" s="31"/>
      <c r="F774" s="30"/>
      <c r="G774" s="30"/>
      <c r="I774" s="30"/>
    </row>
    <row r="775" spans="1:9">
      <c r="A775" s="1"/>
      <c r="B775" s="1"/>
      <c r="C775" s="27"/>
      <c r="D775" s="31"/>
      <c r="F775" s="30"/>
      <c r="G775" s="30"/>
      <c r="I775" s="30"/>
    </row>
    <row r="776" spans="1:9">
      <c r="A776" s="1"/>
      <c r="B776" s="1"/>
      <c r="C776" s="27"/>
      <c r="D776" s="31"/>
      <c r="F776" s="30"/>
      <c r="G776" s="30"/>
      <c r="I776" s="30"/>
    </row>
    <row r="777" spans="1:9">
      <c r="A777" s="1"/>
      <c r="B777" s="1"/>
      <c r="C777" s="27"/>
      <c r="D777" s="31"/>
      <c r="F777" s="30"/>
      <c r="G777" s="30"/>
      <c r="I777" s="30"/>
    </row>
    <row r="778" spans="1:9">
      <c r="A778" s="1"/>
      <c r="B778" s="1"/>
      <c r="C778" s="27"/>
      <c r="D778" s="31"/>
      <c r="F778" s="30"/>
      <c r="G778" s="30"/>
      <c r="I778" s="30"/>
    </row>
    <row r="779" spans="1:9">
      <c r="A779" s="1"/>
      <c r="B779" s="1"/>
      <c r="C779" s="27"/>
      <c r="D779" s="31"/>
      <c r="F779" s="30"/>
      <c r="G779" s="30"/>
      <c r="I779" s="30"/>
    </row>
    <row r="780" spans="1:9">
      <c r="A780" s="1"/>
      <c r="B780" s="1"/>
      <c r="C780" s="27"/>
      <c r="D780" s="31"/>
      <c r="F780" s="30"/>
      <c r="G780" s="30"/>
      <c r="I780" s="30"/>
    </row>
    <row r="781" spans="1:9">
      <c r="A781" s="1"/>
      <c r="B781" s="1"/>
      <c r="C781" s="27"/>
      <c r="D781" s="31"/>
      <c r="F781" s="30"/>
      <c r="G781" s="30"/>
      <c r="I781" s="30"/>
    </row>
    <row r="782" spans="1:9">
      <c r="A782" s="1"/>
      <c r="B782" s="1"/>
      <c r="C782" s="27"/>
      <c r="D782" s="31"/>
      <c r="F782" s="30"/>
      <c r="G782" s="30"/>
      <c r="I782" s="30"/>
    </row>
    <row r="783" spans="1:9">
      <c r="A783" s="1"/>
      <c r="B783" s="1"/>
      <c r="C783" s="27"/>
      <c r="D783" s="31"/>
      <c r="F783" s="30"/>
      <c r="G783" s="30"/>
      <c r="I783" s="30"/>
    </row>
    <row r="784" spans="1:9">
      <c r="A784" s="1"/>
      <c r="B784" s="1"/>
      <c r="C784" s="27"/>
      <c r="D784" s="31"/>
      <c r="F784" s="30"/>
      <c r="G784" s="30"/>
      <c r="I784" s="30"/>
    </row>
    <row r="785" spans="1:9">
      <c r="A785" s="1"/>
      <c r="B785" s="1"/>
      <c r="C785" s="27"/>
      <c r="D785" s="31"/>
      <c r="F785" s="30"/>
      <c r="G785" s="30"/>
      <c r="I785" s="30"/>
    </row>
    <row r="786" spans="1:9">
      <c r="A786" s="1"/>
      <c r="B786" s="1"/>
      <c r="C786" s="27"/>
      <c r="D786" s="31"/>
      <c r="F786" s="30"/>
      <c r="G786" s="30"/>
      <c r="I786" s="30"/>
    </row>
    <row r="787" spans="1:9">
      <c r="A787" s="1"/>
      <c r="B787" s="1"/>
      <c r="C787" s="27"/>
      <c r="D787" s="31"/>
      <c r="F787" s="30"/>
      <c r="G787" s="30"/>
      <c r="I787" s="30"/>
    </row>
    <row r="788" spans="1:9">
      <c r="A788" s="1"/>
      <c r="B788" s="1"/>
      <c r="C788" s="27"/>
      <c r="D788" s="31"/>
      <c r="F788" s="30"/>
      <c r="G788" s="30"/>
      <c r="I788" s="30"/>
    </row>
    <row r="789" spans="1:9">
      <c r="A789" s="1"/>
      <c r="B789" s="1"/>
      <c r="C789" s="27"/>
      <c r="D789" s="31"/>
      <c r="F789" s="30"/>
      <c r="G789" s="30"/>
      <c r="I789" s="30"/>
    </row>
    <row r="790" spans="1:9">
      <c r="A790" s="1"/>
      <c r="B790" s="1"/>
      <c r="C790" s="27"/>
      <c r="D790" s="31"/>
      <c r="F790" s="30"/>
      <c r="G790" s="30"/>
      <c r="I790" s="30"/>
    </row>
    <row r="791" spans="1:9">
      <c r="A791" s="1"/>
      <c r="B791" s="1"/>
      <c r="C791" s="27"/>
      <c r="D791" s="31"/>
      <c r="F791" s="30"/>
      <c r="G791" s="30"/>
      <c r="I791" s="30"/>
    </row>
    <row r="792" spans="1:9">
      <c r="A792" s="1"/>
      <c r="B792" s="1"/>
      <c r="C792" s="27"/>
      <c r="D792" s="31"/>
      <c r="F792" s="30"/>
      <c r="G792" s="30"/>
      <c r="I792" s="30"/>
    </row>
    <row r="793" spans="1:9">
      <c r="A793" s="1"/>
      <c r="B793" s="1"/>
      <c r="C793" s="27"/>
      <c r="D793" s="31"/>
      <c r="F793" s="30"/>
      <c r="G793" s="30"/>
      <c r="I793" s="30"/>
    </row>
    <row r="794" spans="1:9">
      <c r="A794" s="1"/>
      <c r="B794" s="1"/>
      <c r="C794" s="27"/>
      <c r="D794" s="31"/>
      <c r="F794" s="30"/>
      <c r="G794" s="30"/>
      <c r="I794" s="30"/>
    </row>
    <row r="795" spans="1:9">
      <c r="A795" s="1"/>
      <c r="B795" s="1"/>
      <c r="C795" s="27"/>
      <c r="D795" s="31"/>
      <c r="F795" s="30"/>
      <c r="G795" s="30"/>
      <c r="I795" s="30"/>
    </row>
    <row r="796" spans="1:9">
      <c r="A796" s="1"/>
      <c r="B796" s="1"/>
      <c r="C796" s="27"/>
      <c r="D796" s="31"/>
      <c r="F796" s="30"/>
      <c r="G796" s="30"/>
      <c r="I796" s="30"/>
    </row>
    <row r="797" spans="1:9">
      <c r="A797" s="1"/>
      <c r="B797" s="1"/>
      <c r="C797" s="27"/>
      <c r="D797" s="31"/>
      <c r="F797" s="30"/>
      <c r="G797" s="30"/>
      <c r="I797" s="30"/>
    </row>
    <row r="798" spans="1:9">
      <c r="A798" s="1"/>
      <c r="B798" s="1"/>
      <c r="C798" s="27"/>
      <c r="D798" s="31"/>
      <c r="F798" s="30"/>
      <c r="G798" s="30"/>
      <c r="I798" s="30"/>
    </row>
    <row r="799" spans="1:9">
      <c r="A799" s="1"/>
      <c r="B799" s="1"/>
      <c r="C799" s="27"/>
      <c r="D799" s="31"/>
      <c r="F799" s="30"/>
      <c r="G799" s="30"/>
      <c r="I799" s="30"/>
    </row>
    <row r="800" spans="1:9">
      <c r="A800" s="1"/>
      <c r="B800" s="1"/>
      <c r="C800" s="27"/>
      <c r="D800" s="31"/>
      <c r="F800" s="30"/>
      <c r="G800" s="30"/>
      <c r="I800" s="30"/>
    </row>
    <row r="801" spans="1:9">
      <c r="A801" s="1"/>
      <c r="B801" s="1"/>
      <c r="C801" s="27"/>
      <c r="D801" s="31"/>
      <c r="F801" s="30"/>
      <c r="G801" s="30"/>
      <c r="I801" s="30"/>
    </row>
    <row r="802" spans="1:9">
      <c r="A802" s="1"/>
      <c r="B802" s="1"/>
      <c r="C802" s="27"/>
      <c r="D802" s="31"/>
      <c r="F802" s="30"/>
      <c r="G802" s="30"/>
      <c r="I802" s="30"/>
    </row>
    <row r="803" spans="1:9">
      <c r="A803" s="1"/>
      <c r="B803" s="1"/>
      <c r="C803" s="27"/>
      <c r="D803" s="31"/>
      <c r="F803" s="30"/>
      <c r="G803" s="30"/>
      <c r="I803" s="30"/>
    </row>
    <row r="804" spans="1:9">
      <c r="A804" s="1"/>
      <c r="B804" s="1"/>
      <c r="C804" s="27"/>
      <c r="D804" s="31"/>
      <c r="F804" s="30"/>
      <c r="G804" s="30"/>
      <c r="I804" s="30"/>
    </row>
    <row r="805" spans="1:9">
      <c r="A805" s="1"/>
      <c r="B805" s="1"/>
      <c r="C805" s="27"/>
      <c r="D805" s="31"/>
      <c r="F805" s="30"/>
      <c r="G805" s="30"/>
      <c r="I805" s="30"/>
    </row>
    <row r="806" spans="1:9">
      <c r="A806" s="1"/>
      <c r="B806" s="1"/>
      <c r="C806" s="27"/>
      <c r="D806" s="31"/>
      <c r="F806" s="30"/>
      <c r="G806" s="30"/>
      <c r="I806" s="30"/>
    </row>
    <row r="807" spans="1:9">
      <c r="A807" s="1"/>
      <c r="B807" s="1"/>
      <c r="C807" s="27"/>
      <c r="D807" s="31"/>
      <c r="F807" s="30"/>
      <c r="G807" s="30"/>
      <c r="I807" s="30"/>
    </row>
    <row r="808" spans="1:9">
      <c r="A808" s="1"/>
      <c r="B808" s="1"/>
      <c r="C808" s="27"/>
      <c r="D808" s="31"/>
      <c r="F808" s="30"/>
      <c r="G808" s="30"/>
      <c r="I808" s="30"/>
    </row>
    <row r="809" spans="1:9">
      <c r="A809" s="1"/>
      <c r="B809" s="1"/>
      <c r="C809" s="27"/>
      <c r="D809" s="31"/>
      <c r="F809" s="30"/>
      <c r="G809" s="30"/>
      <c r="I809" s="30"/>
    </row>
    <row r="810" spans="1:9">
      <c r="A810" s="1"/>
      <c r="B810" s="1"/>
      <c r="C810" s="27"/>
      <c r="D810" s="31"/>
      <c r="F810" s="30"/>
      <c r="G810" s="30"/>
      <c r="I810" s="30"/>
    </row>
    <row r="811" spans="1:9">
      <c r="A811" s="1"/>
      <c r="B811" s="1"/>
      <c r="C811" s="27"/>
      <c r="D811" s="31"/>
      <c r="F811" s="30"/>
      <c r="G811" s="30"/>
      <c r="I811" s="30"/>
    </row>
    <row r="812" spans="1:9">
      <c r="A812" s="1"/>
      <c r="B812" s="1"/>
      <c r="C812" s="27"/>
      <c r="D812" s="31"/>
      <c r="F812" s="30"/>
      <c r="G812" s="30"/>
      <c r="I812" s="30"/>
    </row>
    <row r="813" spans="1:9">
      <c r="A813" s="1"/>
      <c r="B813" s="1"/>
      <c r="C813" s="27"/>
      <c r="D813" s="31"/>
      <c r="F813" s="30"/>
      <c r="G813" s="30"/>
      <c r="I813" s="30"/>
    </row>
    <row r="814" spans="1:9">
      <c r="A814" s="1"/>
      <c r="B814" s="1"/>
      <c r="C814" s="27"/>
      <c r="D814" s="31"/>
      <c r="F814" s="30"/>
      <c r="G814" s="30"/>
      <c r="I814" s="30"/>
    </row>
    <row r="815" spans="1:9">
      <c r="A815" s="1"/>
      <c r="B815" s="1"/>
      <c r="C815" s="27"/>
      <c r="D815" s="31"/>
      <c r="F815" s="30"/>
      <c r="G815" s="30"/>
      <c r="I815" s="30"/>
    </row>
    <row r="816" spans="1:9">
      <c r="A816" s="1"/>
      <c r="B816" s="1"/>
      <c r="C816" s="27"/>
      <c r="D816" s="31"/>
      <c r="F816" s="30"/>
      <c r="G816" s="30"/>
      <c r="I816" s="30"/>
    </row>
    <row r="817" spans="1:9">
      <c r="A817" s="1"/>
      <c r="B817" s="1"/>
      <c r="C817" s="27"/>
      <c r="D817" s="31"/>
      <c r="F817" s="30"/>
      <c r="G817" s="30"/>
      <c r="I817" s="30"/>
    </row>
    <row r="818" spans="1:9">
      <c r="A818" s="1"/>
      <c r="B818" s="1"/>
      <c r="C818" s="27"/>
      <c r="D818" s="31"/>
      <c r="F818" s="30"/>
      <c r="G818" s="30"/>
      <c r="I818" s="30"/>
    </row>
    <row r="819" spans="1:9">
      <c r="A819" s="1"/>
      <c r="B819" s="1"/>
      <c r="C819" s="27"/>
      <c r="D819" s="31"/>
      <c r="F819" s="30"/>
      <c r="G819" s="30"/>
      <c r="I819" s="30"/>
    </row>
    <row r="820" spans="1:9">
      <c r="A820" s="1"/>
      <c r="B820" s="1"/>
      <c r="C820" s="27"/>
      <c r="D820" s="31"/>
      <c r="F820" s="30"/>
      <c r="G820" s="30"/>
      <c r="I820" s="30"/>
    </row>
    <row r="821" spans="1:9">
      <c r="A821" s="1"/>
      <c r="B821" s="1"/>
      <c r="C821" s="27"/>
      <c r="D821" s="31"/>
      <c r="F821" s="30"/>
      <c r="G821" s="30"/>
      <c r="I821" s="30"/>
    </row>
    <row r="822" spans="1:9">
      <c r="A822" s="1"/>
      <c r="B822" s="1"/>
      <c r="C822" s="27"/>
      <c r="D822" s="31"/>
      <c r="F822" s="30"/>
      <c r="G822" s="30"/>
      <c r="I822" s="30"/>
    </row>
    <row r="823" spans="1:9">
      <c r="A823" s="1"/>
      <c r="B823" s="1"/>
      <c r="C823" s="27"/>
      <c r="D823" s="31"/>
      <c r="F823" s="30"/>
      <c r="G823" s="30"/>
      <c r="I823" s="30"/>
    </row>
    <row r="824" spans="1:9">
      <c r="A824" s="1"/>
      <c r="B824" s="1"/>
      <c r="C824" s="27"/>
      <c r="D824" s="31"/>
      <c r="F824" s="30"/>
      <c r="G824" s="30"/>
      <c r="I824" s="30"/>
    </row>
    <row r="825" spans="1:9">
      <c r="A825" s="1"/>
      <c r="B825" s="1"/>
      <c r="C825" s="27"/>
      <c r="D825" s="31"/>
      <c r="F825" s="30"/>
      <c r="G825" s="30"/>
      <c r="I825" s="30"/>
    </row>
    <row r="826" spans="1:9">
      <c r="A826" s="1"/>
      <c r="B826" s="1"/>
      <c r="C826" s="27"/>
      <c r="D826" s="31"/>
      <c r="F826" s="30"/>
      <c r="G826" s="30"/>
      <c r="I826" s="30"/>
    </row>
    <row r="827" spans="1:9">
      <c r="A827" s="1"/>
      <c r="B827" s="1"/>
      <c r="C827" s="27"/>
      <c r="D827" s="31"/>
      <c r="F827" s="30"/>
      <c r="G827" s="30"/>
      <c r="I827" s="30"/>
    </row>
    <row r="828" spans="1:9">
      <c r="A828" s="1"/>
      <c r="B828" s="1"/>
      <c r="C828" s="27"/>
      <c r="D828" s="31"/>
      <c r="F828" s="30"/>
      <c r="G828" s="30"/>
      <c r="I828" s="30"/>
    </row>
    <row r="829" spans="1:9">
      <c r="A829" s="1"/>
      <c r="B829" s="1"/>
      <c r="C829" s="27"/>
      <c r="D829" s="31"/>
      <c r="F829" s="30"/>
      <c r="G829" s="30"/>
      <c r="I829" s="30"/>
    </row>
    <row r="830" spans="1:9">
      <c r="A830" s="1"/>
      <c r="B830" s="1"/>
      <c r="C830" s="27"/>
      <c r="D830" s="31"/>
      <c r="F830" s="30"/>
      <c r="G830" s="30"/>
      <c r="I830" s="30"/>
    </row>
    <row r="831" spans="1:9">
      <c r="A831" s="1"/>
      <c r="B831" s="1"/>
      <c r="C831" s="27"/>
      <c r="D831" s="31"/>
      <c r="F831" s="30"/>
      <c r="G831" s="30"/>
      <c r="I831" s="30"/>
    </row>
    <row r="832" spans="1:9">
      <c r="A832" s="1"/>
      <c r="B832" s="1"/>
      <c r="C832" s="27"/>
      <c r="D832" s="31"/>
      <c r="F832" s="30"/>
      <c r="G832" s="30"/>
      <c r="I832" s="30"/>
    </row>
    <row r="833" spans="1:9">
      <c r="A833" s="1"/>
      <c r="B833" s="1"/>
      <c r="C833" s="27"/>
      <c r="D833" s="31"/>
      <c r="F833" s="30"/>
      <c r="G833" s="30"/>
      <c r="I833" s="30"/>
    </row>
    <row r="834" spans="1:9">
      <c r="A834" s="1"/>
      <c r="B834" s="1"/>
      <c r="C834" s="27"/>
      <c r="D834" s="31"/>
      <c r="F834" s="30"/>
      <c r="G834" s="30"/>
      <c r="I834" s="30"/>
    </row>
    <row r="835" spans="1:9">
      <c r="A835" s="1"/>
      <c r="B835" s="1"/>
      <c r="C835" s="27"/>
      <c r="D835" s="31"/>
      <c r="F835" s="30"/>
      <c r="G835" s="30"/>
      <c r="I835" s="30"/>
    </row>
    <row r="836" spans="1:9">
      <c r="A836" s="1"/>
      <c r="B836" s="1"/>
      <c r="C836" s="27"/>
      <c r="D836" s="31"/>
      <c r="F836" s="30"/>
      <c r="G836" s="30"/>
      <c r="I836" s="30"/>
    </row>
    <row r="837" spans="1:9">
      <c r="A837" s="1"/>
      <c r="B837" s="1"/>
      <c r="C837" s="27"/>
      <c r="D837" s="31"/>
      <c r="F837" s="30"/>
      <c r="G837" s="30"/>
      <c r="I837" s="30"/>
    </row>
    <row r="838" spans="1:9">
      <c r="A838" s="1"/>
      <c r="B838" s="1"/>
      <c r="C838" s="27"/>
      <c r="D838" s="31"/>
      <c r="F838" s="30"/>
      <c r="G838" s="30"/>
      <c r="I838" s="30"/>
    </row>
    <row r="839" spans="1:9">
      <c r="A839" s="1"/>
      <c r="B839" s="1"/>
      <c r="C839" s="27"/>
      <c r="D839" s="31"/>
      <c r="F839" s="30"/>
      <c r="G839" s="30"/>
      <c r="I839" s="30"/>
    </row>
    <row r="840" spans="1:9">
      <c r="A840" s="1"/>
      <c r="B840" s="1"/>
      <c r="C840" s="27"/>
      <c r="D840" s="31"/>
      <c r="F840" s="30"/>
      <c r="G840" s="30"/>
      <c r="I840" s="30"/>
    </row>
    <row r="841" spans="1:9">
      <c r="A841" s="1"/>
      <c r="B841" s="1"/>
      <c r="C841" s="27"/>
      <c r="D841" s="31"/>
      <c r="F841" s="30"/>
      <c r="G841" s="30"/>
      <c r="I841" s="30"/>
    </row>
    <row r="842" spans="1:9">
      <c r="A842" s="1"/>
      <c r="B842" s="1"/>
      <c r="C842" s="27"/>
      <c r="D842" s="31"/>
      <c r="F842" s="30"/>
      <c r="G842" s="30"/>
      <c r="I842" s="30"/>
    </row>
    <row r="843" spans="1:9">
      <c r="A843" s="1"/>
      <c r="B843" s="1"/>
      <c r="C843" s="27"/>
      <c r="D843" s="31"/>
      <c r="F843" s="30"/>
      <c r="G843" s="30"/>
      <c r="I843" s="30"/>
    </row>
    <row r="844" spans="1:9">
      <c r="A844" s="1"/>
      <c r="B844" s="1"/>
      <c r="C844" s="27"/>
      <c r="D844" s="31"/>
      <c r="F844" s="30"/>
      <c r="G844" s="30"/>
      <c r="I844" s="30"/>
    </row>
    <row r="845" spans="1:9">
      <c r="A845" s="1"/>
      <c r="B845" s="1"/>
      <c r="C845" s="27"/>
      <c r="D845" s="31"/>
      <c r="F845" s="30"/>
      <c r="G845" s="30"/>
      <c r="I845" s="30"/>
    </row>
    <row r="846" spans="1:9">
      <c r="A846" s="1"/>
      <c r="B846" s="1"/>
      <c r="C846" s="27"/>
      <c r="D846" s="31"/>
      <c r="F846" s="30"/>
      <c r="G846" s="30"/>
      <c r="I846" s="30"/>
    </row>
    <row r="847" spans="1:9">
      <c r="A847" s="1"/>
      <c r="B847" s="1"/>
      <c r="C847" s="27"/>
      <c r="D847" s="31"/>
      <c r="F847" s="30"/>
      <c r="G847" s="30"/>
      <c r="I847" s="30"/>
    </row>
    <row r="848" spans="1:9">
      <c r="A848" s="1"/>
      <c r="B848" s="1"/>
      <c r="C848" s="27"/>
      <c r="D848" s="31"/>
      <c r="F848" s="30"/>
      <c r="G848" s="30"/>
      <c r="I848" s="30"/>
    </row>
    <row r="849" spans="1:9">
      <c r="A849" s="1"/>
      <c r="B849" s="1"/>
      <c r="C849" s="27"/>
      <c r="D849" s="31"/>
      <c r="F849" s="30"/>
      <c r="G849" s="30"/>
      <c r="I849" s="30"/>
    </row>
    <row r="850" spans="1:9">
      <c r="A850" s="1"/>
      <c r="B850" s="1"/>
      <c r="C850" s="27"/>
      <c r="D850" s="31"/>
      <c r="F850" s="30"/>
      <c r="G850" s="30"/>
      <c r="I850" s="30"/>
    </row>
    <row r="851" spans="1:9">
      <c r="A851" s="1"/>
      <c r="B851" s="1"/>
      <c r="C851" s="27"/>
      <c r="D851" s="31"/>
      <c r="F851" s="30"/>
      <c r="G851" s="30"/>
      <c r="I851" s="30"/>
    </row>
    <row r="852" spans="1:9">
      <c r="A852" s="1"/>
      <c r="B852" s="1"/>
      <c r="C852" s="27"/>
      <c r="D852" s="31"/>
      <c r="F852" s="30"/>
      <c r="G852" s="30"/>
      <c r="I852" s="30"/>
    </row>
    <row r="853" spans="1:9">
      <c r="A853" s="1"/>
      <c r="B853" s="1"/>
      <c r="C853" s="27"/>
      <c r="D853" s="31"/>
      <c r="F853" s="30"/>
      <c r="G853" s="30"/>
      <c r="I853" s="30"/>
    </row>
    <row r="854" spans="1:9">
      <c r="A854" s="1"/>
      <c r="B854" s="1"/>
      <c r="C854" s="27"/>
      <c r="D854" s="31"/>
      <c r="F854" s="30"/>
      <c r="G854" s="30"/>
      <c r="I854" s="30"/>
    </row>
    <row r="855" spans="1:9">
      <c r="A855" s="1"/>
      <c r="B855" s="1"/>
      <c r="C855" s="27"/>
      <c r="D855" s="31"/>
      <c r="F855" s="30"/>
      <c r="G855" s="30"/>
      <c r="I855" s="30"/>
    </row>
    <row r="856" spans="1:9">
      <c r="A856" s="1"/>
      <c r="B856" s="1"/>
      <c r="C856" s="27"/>
      <c r="D856" s="31"/>
      <c r="F856" s="30"/>
      <c r="G856" s="30"/>
      <c r="I856" s="30"/>
    </row>
    <row r="857" spans="1:9">
      <c r="A857" s="1"/>
      <c r="B857" s="1"/>
      <c r="C857" s="27"/>
      <c r="D857" s="31"/>
      <c r="F857" s="30"/>
      <c r="G857" s="30"/>
      <c r="I857" s="30"/>
    </row>
    <row r="858" spans="1:9">
      <c r="A858" s="1"/>
      <c r="B858" s="1"/>
      <c r="C858" s="27"/>
      <c r="D858" s="31"/>
      <c r="F858" s="30"/>
      <c r="G858" s="30"/>
      <c r="I858" s="30"/>
    </row>
    <row r="859" spans="1:9">
      <c r="A859" s="1"/>
      <c r="B859" s="1"/>
      <c r="C859" s="27"/>
      <c r="D859" s="31"/>
      <c r="F859" s="30"/>
      <c r="G859" s="30"/>
      <c r="I859" s="30"/>
    </row>
    <row r="860" spans="1:9">
      <c r="A860" s="1"/>
      <c r="B860" s="1"/>
      <c r="C860" s="27"/>
      <c r="D860" s="31"/>
      <c r="F860" s="30"/>
      <c r="G860" s="30"/>
      <c r="I860" s="30"/>
    </row>
    <row r="861" spans="1:9">
      <c r="A861" s="1"/>
      <c r="B861" s="1"/>
      <c r="C861" s="27"/>
      <c r="D861" s="31"/>
      <c r="F861" s="30"/>
      <c r="G861" s="30"/>
      <c r="I861" s="30"/>
    </row>
    <row r="862" spans="1:9">
      <c r="A862" s="1"/>
      <c r="B862" s="1"/>
      <c r="C862" s="27"/>
      <c r="D862" s="31"/>
      <c r="F862" s="30"/>
      <c r="G862" s="30"/>
      <c r="I862" s="30"/>
    </row>
    <row r="863" spans="1:9">
      <c r="A863" s="1"/>
      <c r="B863" s="1"/>
      <c r="C863" s="27"/>
      <c r="D863" s="31"/>
      <c r="F863" s="30"/>
      <c r="G863" s="30"/>
      <c r="I863" s="30"/>
    </row>
    <row r="864" spans="1:9">
      <c r="A864" s="1"/>
      <c r="B864" s="1"/>
      <c r="C864" s="27"/>
      <c r="D864" s="31"/>
      <c r="F864" s="30"/>
      <c r="G864" s="30"/>
      <c r="I864" s="30"/>
    </row>
    <row r="865" spans="1:9">
      <c r="A865" s="1"/>
      <c r="B865" s="1"/>
      <c r="C865" s="27"/>
      <c r="D865" s="31"/>
      <c r="F865" s="30"/>
      <c r="G865" s="30"/>
      <c r="I865" s="30"/>
    </row>
    <row r="866" spans="1:9">
      <c r="A866" s="1"/>
      <c r="B866" s="1"/>
      <c r="C866" s="27"/>
      <c r="D866" s="31"/>
      <c r="F866" s="30"/>
      <c r="G866" s="30"/>
      <c r="I866" s="30"/>
    </row>
    <row r="867" spans="1:9">
      <c r="A867" s="1"/>
      <c r="B867" s="1"/>
      <c r="C867" s="27"/>
      <c r="D867" s="31"/>
      <c r="F867" s="30"/>
      <c r="G867" s="30"/>
      <c r="I867" s="30"/>
    </row>
    <row r="868" spans="1:9">
      <c r="A868" s="1"/>
      <c r="B868" s="1"/>
      <c r="C868" s="27"/>
      <c r="D868" s="31"/>
      <c r="F868" s="30"/>
      <c r="G868" s="30"/>
      <c r="I868" s="30"/>
    </row>
    <row r="869" spans="1:9">
      <c r="A869" s="1"/>
      <c r="B869" s="1"/>
      <c r="C869" s="27"/>
      <c r="D869" s="31"/>
      <c r="F869" s="30"/>
      <c r="G869" s="30"/>
      <c r="I869" s="30"/>
    </row>
    <row r="870" spans="1:9">
      <c r="A870" s="1"/>
      <c r="B870" s="1"/>
      <c r="C870" s="27"/>
      <c r="D870" s="31"/>
      <c r="F870" s="30"/>
      <c r="G870" s="30"/>
      <c r="I870" s="30"/>
    </row>
    <row r="871" spans="1:9">
      <c r="A871" s="1"/>
      <c r="B871" s="1"/>
      <c r="C871" s="27"/>
      <c r="D871" s="31"/>
      <c r="F871" s="30"/>
      <c r="G871" s="30"/>
      <c r="I871" s="30"/>
    </row>
    <row r="872" spans="1:9">
      <c r="A872" s="1"/>
      <c r="B872" s="1"/>
      <c r="C872" s="27"/>
      <c r="D872" s="31"/>
      <c r="F872" s="30"/>
      <c r="G872" s="30"/>
      <c r="I872" s="30"/>
    </row>
    <row r="873" spans="1:9">
      <c r="A873" s="1"/>
      <c r="B873" s="1"/>
      <c r="C873" s="27"/>
      <c r="D873" s="31"/>
      <c r="F873" s="30"/>
      <c r="G873" s="30"/>
      <c r="I873" s="30"/>
    </row>
    <row r="874" spans="1:9">
      <c r="A874" s="1"/>
      <c r="B874" s="1"/>
      <c r="C874" s="27"/>
      <c r="D874" s="31"/>
      <c r="F874" s="30"/>
      <c r="G874" s="30"/>
      <c r="I874" s="30"/>
    </row>
    <row r="875" spans="1:9">
      <c r="A875" s="1"/>
      <c r="B875" s="1"/>
      <c r="C875" s="27"/>
      <c r="D875" s="31"/>
      <c r="F875" s="30"/>
      <c r="G875" s="30"/>
      <c r="I875" s="30"/>
    </row>
    <row r="876" spans="1:9">
      <c r="A876" s="1"/>
      <c r="B876" s="1"/>
      <c r="C876" s="27"/>
      <c r="D876" s="31"/>
      <c r="F876" s="30"/>
      <c r="G876" s="30"/>
      <c r="I876" s="30"/>
    </row>
    <row r="877" spans="1:9">
      <c r="A877" s="1"/>
      <c r="B877" s="1"/>
      <c r="C877" s="27"/>
      <c r="D877" s="31"/>
      <c r="F877" s="30"/>
      <c r="G877" s="30"/>
      <c r="I877" s="30"/>
    </row>
    <row r="878" spans="1:9">
      <c r="A878" s="1"/>
      <c r="B878" s="1"/>
      <c r="C878" s="27"/>
      <c r="D878" s="31"/>
      <c r="F878" s="30"/>
      <c r="G878" s="30"/>
      <c r="I878" s="30"/>
    </row>
    <row r="879" spans="1:9">
      <c r="A879" s="1"/>
      <c r="B879" s="1"/>
      <c r="C879" s="27"/>
      <c r="D879" s="31"/>
      <c r="F879" s="30"/>
      <c r="G879" s="30"/>
      <c r="I879" s="30"/>
    </row>
    <row r="880" spans="1:9">
      <c r="A880" s="1"/>
      <c r="B880" s="1"/>
      <c r="C880" s="27"/>
      <c r="D880" s="31"/>
      <c r="F880" s="30"/>
      <c r="G880" s="30"/>
      <c r="I880" s="30"/>
    </row>
    <row r="881" spans="1:9">
      <c r="A881" s="1"/>
      <c r="B881" s="1"/>
      <c r="C881" s="27"/>
      <c r="D881" s="31"/>
      <c r="F881" s="30"/>
      <c r="G881" s="30"/>
      <c r="I881" s="30"/>
    </row>
    <row r="882" spans="1:9">
      <c r="A882" s="1"/>
      <c r="B882" s="1"/>
      <c r="C882" s="27"/>
      <c r="D882" s="31"/>
      <c r="F882" s="30"/>
      <c r="G882" s="30"/>
      <c r="I882" s="30"/>
    </row>
    <row r="883" spans="1:9">
      <c r="A883" s="1"/>
      <c r="B883" s="1"/>
      <c r="C883" s="27"/>
      <c r="D883" s="31"/>
      <c r="F883" s="30"/>
      <c r="G883" s="30"/>
      <c r="I883" s="30"/>
    </row>
    <row r="884" spans="1:9">
      <c r="A884" s="1"/>
      <c r="B884" s="1"/>
      <c r="C884" s="27"/>
      <c r="D884" s="31"/>
      <c r="F884" s="30"/>
      <c r="G884" s="30"/>
      <c r="I884" s="30"/>
    </row>
    <row r="885" spans="1:9">
      <c r="A885" s="1"/>
      <c r="B885" s="1"/>
      <c r="C885" s="27"/>
      <c r="D885" s="31"/>
      <c r="F885" s="30"/>
      <c r="G885" s="30"/>
      <c r="I885" s="30"/>
    </row>
    <row r="886" spans="1:9">
      <c r="A886" s="1"/>
      <c r="B886" s="1"/>
      <c r="C886" s="27"/>
      <c r="D886" s="31"/>
      <c r="F886" s="30"/>
      <c r="G886" s="30"/>
      <c r="I886" s="30"/>
    </row>
    <row r="887" spans="1:9">
      <c r="A887" s="1"/>
      <c r="B887" s="1"/>
      <c r="C887" s="27"/>
      <c r="D887" s="31"/>
      <c r="F887" s="30"/>
      <c r="G887" s="30"/>
      <c r="I887" s="30"/>
    </row>
    <row r="888" spans="1:9">
      <c r="A888" s="1"/>
      <c r="B888" s="1"/>
      <c r="C888" s="27"/>
      <c r="D888" s="31"/>
      <c r="F888" s="30"/>
      <c r="G888" s="30"/>
      <c r="I888" s="30"/>
    </row>
    <row r="889" spans="1:9">
      <c r="A889" s="1"/>
      <c r="B889" s="1"/>
      <c r="C889" s="27"/>
      <c r="D889" s="31"/>
      <c r="F889" s="30"/>
      <c r="G889" s="30"/>
      <c r="I889" s="30"/>
    </row>
    <row r="890" spans="1:9">
      <c r="A890" s="1"/>
      <c r="B890" s="1"/>
      <c r="C890" s="27"/>
      <c r="D890" s="31"/>
      <c r="F890" s="30"/>
      <c r="G890" s="30"/>
      <c r="I890" s="30"/>
    </row>
    <row r="891" spans="1:9">
      <c r="A891" s="1"/>
      <c r="B891" s="1"/>
      <c r="C891" s="27"/>
      <c r="D891" s="31"/>
      <c r="F891" s="30"/>
      <c r="G891" s="30"/>
      <c r="I891" s="30"/>
    </row>
    <row r="892" spans="1:9">
      <c r="A892" s="1"/>
      <c r="B892" s="1"/>
      <c r="C892" s="27"/>
      <c r="D892" s="31"/>
      <c r="F892" s="30"/>
      <c r="G892" s="30"/>
      <c r="I892" s="30"/>
    </row>
    <row r="893" spans="1:9">
      <c r="A893" s="1"/>
      <c r="B893" s="1"/>
      <c r="C893" s="27"/>
      <c r="D893" s="31"/>
      <c r="F893" s="30"/>
      <c r="G893" s="30"/>
      <c r="I893" s="30"/>
    </row>
    <row r="894" spans="1:9">
      <c r="A894" s="1"/>
      <c r="B894" s="1"/>
      <c r="C894" s="27"/>
      <c r="D894" s="31"/>
      <c r="F894" s="30"/>
      <c r="G894" s="30"/>
      <c r="I894" s="30"/>
    </row>
    <row r="895" spans="1:9">
      <c r="A895" s="1"/>
      <c r="B895" s="1"/>
      <c r="C895" s="27"/>
      <c r="D895" s="31"/>
      <c r="F895" s="30"/>
      <c r="G895" s="30"/>
      <c r="I895" s="30"/>
    </row>
    <row r="896" spans="1:9">
      <c r="A896" s="1"/>
      <c r="B896" s="1"/>
      <c r="C896" s="27"/>
      <c r="D896" s="31"/>
      <c r="F896" s="30"/>
      <c r="G896" s="30"/>
      <c r="I896" s="30"/>
    </row>
    <row r="897" spans="1:9">
      <c r="A897" s="1"/>
      <c r="B897" s="1"/>
      <c r="C897" s="27"/>
      <c r="D897" s="31"/>
      <c r="F897" s="30"/>
      <c r="G897" s="30"/>
      <c r="I897" s="30"/>
    </row>
    <row r="898" spans="1:9">
      <c r="A898" s="1"/>
      <c r="B898" s="1"/>
      <c r="C898" s="27"/>
      <c r="D898" s="31"/>
      <c r="F898" s="30"/>
      <c r="G898" s="30"/>
      <c r="I898" s="30"/>
    </row>
    <row r="899" spans="1:9">
      <c r="A899" s="1"/>
      <c r="B899" s="1"/>
      <c r="C899" s="27"/>
      <c r="D899" s="31"/>
      <c r="F899" s="30"/>
      <c r="G899" s="30"/>
      <c r="I899" s="30"/>
    </row>
    <row r="900" spans="1:9">
      <c r="A900" s="1"/>
      <c r="B900" s="1"/>
      <c r="C900" s="27"/>
      <c r="D900" s="31"/>
      <c r="F900" s="30"/>
      <c r="G900" s="30"/>
      <c r="I900" s="30"/>
    </row>
    <row r="901" spans="1:9">
      <c r="A901" s="1"/>
      <c r="B901" s="1"/>
      <c r="C901" s="27"/>
      <c r="D901" s="31"/>
      <c r="F901" s="30"/>
      <c r="G901" s="30"/>
      <c r="I901" s="30"/>
    </row>
    <row r="902" spans="1:9">
      <c r="A902" s="1"/>
      <c r="B902" s="1"/>
      <c r="C902" s="27"/>
      <c r="D902" s="31"/>
      <c r="F902" s="30"/>
      <c r="G902" s="30"/>
      <c r="I902" s="30"/>
    </row>
    <row r="903" spans="1:9">
      <c r="A903" s="1"/>
      <c r="B903" s="1"/>
      <c r="C903" s="27"/>
      <c r="D903" s="31"/>
      <c r="F903" s="30"/>
      <c r="G903" s="30"/>
      <c r="I903" s="30"/>
    </row>
    <row r="904" spans="1:9">
      <c r="A904" s="1"/>
      <c r="B904" s="1"/>
      <c r="C904" s="27"/>
      <c r="D904" s="31"/>
      <c r="F904" s="30"/>
      <c r="G904" s="30"/>
      <c r="I904" s="30"/>
    </row>
    <row r="905" spans="1:9">
      <c r="A905" s="1"/>
      <c r="B905" s="1"/>
      <c r="C905" s="27"/>
      <c r="D905" s="31"/>
      <c r="F905" s="30"/>
      <c r="G905" s="30"/>
      <c r="I905" s="30"/>
    </row>
    <row r="906" spans="1:9">
      <c r="A906" s="1"/>
      <c r="B906" s="1"/>
      <c r="C906" s="27"/>
      <c r="D906" s="31"/>
      <c r="F906" s="30"/>
      <c r="G906" s="30"/>
      <c r="I906" s="30"/>
    </row>
    <row r="907" spans="1:9">
      <c r="A907" s="1"/>
      <c r="B907" s="1"/>
      <c r="C907" s="27"/>
      <c r="D907" s="31"/>
      <c r="F907" s="30"/>
      <c r="G907" s="30"/>
      <c r="I907" s="30"/>
    </row>
    <row r="908" spans="1:9">
      <c r="A908" s="1"/>
      <c r="B908" s="1"/>
      <c r="C908" s="27"/>
      <c r="D908" s="31"/>
      <c r="F908" s="30"/>
      <c r="G908" s="30"/>
      <c r="I908" s="30"/>
    </row>
    <row r="909" spans="1:9">
      <c r="A909" s="1"/>
      <c r="B909" s="1"/>
      <c r="C909" s="27"/>
      <c r="D909" s="31"/>
      <c r="F909" s="30"/>
      <c r="G909" s="30"/>
      <c r="I909" s="30"/>
    </row>
    <row r="910" spans="1:9">
      <c r="A910" s="1"/>
      <c r="B910" s="1"/>
      <c r="C910" s="27"/>
      <c r="D910" s="31"/>
      <c r="F910" s="30"/>
      <c r="G910" s="30"/>
      <c r="I910" s="30"/>
    </row>
    <row r="911" spans="1:9">
      <c r="A911" s="1"/>
      <c r="B911" s="1"/>
      <c r="C911" s="27"/>
      <c r="D911" s="31"/>
      <c r="F911" s="30"/>
      <c r="G911" s="30"/>
      <c r="I911" s="30"/>
    </row>
    <row r="912" spans="1:9">
      <c r="A912" s="1"/>
      <c r="B912" s="1"/>
      <c r="C912" s="27"/>
      <c r="D912" s="31"/>
      <c r="F912" s="30"/>
      <c r="G912" s="30"/>
      <c r="I912" s="30"/>
    </row>
    <row r="913" spans="1:9">
      <c r="A913" s="1"/>
      <c r="B913" s="1"/>
      <c r="C913" s="27"/>
      <c r="D913" s="31"/>
      <c r="F913" s="30"/>
      <c r="G913" s="30"/>
      <c r="I913" s="30"/>
    </row>
    <row r="914" spans="1:9">
      <c r="A914" s="1"/>
      <c r="B914" s="1"/>
      <c r="C914" s="27"/>
      <c r="D914" s="31"/>
      <c r="F914" s="30"/>
      <c r="G914" s="30"/>
      <c r="I914" s="30"/>
    </row>
    <row r="915" spans="1:9">
      <c r="A915" s="1"/>
      <c r="B915" s="1"/>
      <c r="C915" s="27"/>
      <c r="D915" s="31"/>
      <c r="F915" s="30"/>
      <c r="G915" s="30"/>
      <c r="I915" s="30"/>
    </row>
    <row r="916" spans="1:9">
      <c r="A916" s="1"/>
      <c r="B916" s="1"/>
      <c r="C916" s="27"/>
      <c r="D916" s="31"/>
      <c r="F916" s="30"/>
      <c r="G916" s="30"/>
      <c r="I916" s="30"/>
    </row>
    <row r="917" spans="1:9">
      <c r="A917" s="1"/>
      <c r="B917" s="1"/>
      <c r="C917" s="27"/>
      <c r="D917" s="31"/>
      <c r="F917" s="30"/>
      <c r="G917" s="30"/>
      <c r="I917" s="30"/>
    </row>
    <row r="918" spans="1:9">
      <c r="A918" s="1"/>
      <c r="B918" s="1"/>
      <c r="C918" s="27"/>
      <c r="D918" s="31"/>
      <c r="F918" s="30"/>
      <c r="G918" s="30"/>
      <c r="I918" s="30"/>
    </row>
    <row r="919" spans="1:9">
      <c r="A919" s="1"/>
      <c r="B919" s="1"/>
      <c r="C919" s="27"/>
      <c r="D919" s="31"/>
      <c r="F919" s="30"/>
      <c r="G919" s="30"/>
      <c r="I919" s="30"/>
    </row>
    <row r="920" spans="1:9">
      <c r="A920" s="1"/>
      <c r="B920" s="1"/>
      <c r="C920" s="27"/>
      <c r="D920" s="31"/>
      <c r="F920" s="30"/>
      <c r="G920" s="30"/>
      <c r="I920" s="30"/>
    </row>
    <row r="921" spans="1:9">
      <c r="A921" s="1"/>
      <c r="B921" s="1"/>
      <c r="C921" s="27"/>
      <c r="D921" s="31"/>
      <c r="F921" s="30"/>
      <c r="G921" s="30"/>
      <c r="I921" s="30"/>
    </row>
    <row r="922" spans="1:9">
      <c r="A922" s="1"/>
      <c r="B922" s="1"/>
      <c r="C922" s="27"/>
      <c r="D922" s="31"/>
      <c r="F922" s="30"/>
      <c r="G922" s="30"/>
      <c r="I922" s="30"/>
    </row>
    <row r="923" spans="1:9">
      <c r="A923" s="1"/>
      <c r="B923" s="1"/>
      <c r="C923" s="27"/>
      <c r="D923" s="31"/>
      <c r="F923" s="30"/>
      <c r="G923" s="30"/>
      <c r="I923" s="30"/>
    </row>
    <row r="924" spans="1:9">
      <c r="A924" s="1"/>
      <c r="B924" s="1"/>
      <c r="C924" s="27"/>
      <c r="D924" s="31"/>
      <c r="F924" s="30"/>
      <c r="G924" s="30"/>
      <c r="I924" s="30"/>
    </row>
    <row r="925" spans="1:9">
      <c r="A925" s="1"/>
      <c r="B925" s="1"/>
      <c r="C925" s="27"/>
      <c r="D925" s="31"/>
      <c r="F925" s="30"/>
      <c r="G925" s="30"/>
      <c r="I925" s="30"/>
    </row>
    <row r="926" spans="1:9">
      <c r="A926" s="1"/>
      <c r="B926" s="1"/>
      <c r="C926" s="27"/>
      <c r="D926" s="31"/>
      <c r="F926" s="30"/>
      <c r="G926" s="30"/>
      <c r="I926" s="30"/>
    </row>
    <row r="927" spans="1:9">
      <c r="A927" s="1"/>
      <c r="B927" s="1"/>
      <c r="C927" s="27"/>
      <c r="D927" s="31"/>
      <c r="F927" s="30"/>
      <c r="G927" s="30"/>
      <c r="I927" s="30"/>
    </row>
    <row r="928" spans="1:9">
      <c r="A928" s="1"/>
      <c r="B928" s="1"/>
      <c r="C928" s="27"/>
      <c r="D928" s="31"/>
      <c r="F928" s="30"/>
      <c r="G928" s="30"/>
      <c r="I928" s="30"/>
    </row>
    <row r="929" spans="1:9">
      <c r="A929" s="1"/>
      <c r="B929" s="1"/>
      <c r="C929" s="27"/>
      <c r="D929" s="31"/>
      <c r="F929" s="30"/>
      <c r="G929" s="30"/>
      <c r="I929" s="30"/>
    </row>
    <row r="930" spans="1:9">
      <c r="A930" s="1"/>
      <c r="B930" s="1"/>
      <c r="C930" s="27"/>
      <c r="D930" s="31"/>
      <c r="F930" s="30"/>
      <c r="G930" s="30"/>
      <c r="I930" s="30"/>
    </row>
    <row r="931" spans="1:9">
      <c r="A931" s="1"/>
      <c r="B931" s="1"/>
      <c r="C931" s="27"/>
      <c r="D931" s="31"/>
      <c r="F931" s="30"/>
      <c r="G931" s="30"/>
      <c r="I931" s="30"/>
    </row>
    <row r="932" spans="1:9">
      <c r="A932" s="1"/>
      <c r="B932" s="1"/>
      <c r="C932" s="27"/>
      <c r="D932" s="31"/>
      <c r="F932" s="30"/>
      <c r="G932" s="30"/>
      <c r="I932" s="30"/>
    </row>
    <row r="933" spans="1:9">
      <c r="A933" s="1"/>
      <c r="B933" s="1"/>
      <c r="C933" s="27"/>
      <c r="D933" s="31"/>
      <c r="F933" s="30"/>
      <c r="G933" s="30"/>
      <c r="I933" s="30"/>
    </row>
    <row r="934" spans="1:9">
      <c r="A934" s="1"/>
      <c r="B934" s="1"/>
      <c r="C934" s="27"/>
      <c r="D934" s="31"/>
      <c r="F934" s="30"/>
      <c r="G934" s="30"/>
      <c r="I934" s="30"/>
    </row>
    <row r="935" spans="1:9">
      <c r="A935" s="1"/>
      <c r="B935" s="1"/>
      <c r="C935" s="27"/>
      <c r="D935" s="31"/>
      <c r="F935" s="30"/>
      <c r="G935" s="30"/>
      <c r="I935" s="30"/>
    </row>
    <row r="936" spans="1:9">
      <c r="A936" s="1"/>
      <c r="B936" s="1"/>
      <c r="C936" s="27"/>
      <c r="D936" s="31"/>
      <c r="F936" s="30"/>
      <c r="G936" s="30"/>
      <c r="I936" s="30"/>
    </row>
    <row r="937" spans="1:9">
      <c r="A937" s="1"/>
      <c r="B937" s="1"/>
      <c r="C937" s="27"/>
      <c r="D937" s="31"/>
      <c r="F937" s="30"/>
      <c r="G937" s="30"/>
      <c r="I937" s="30"/>
    </row>
    <row r="938" spans="1:9">
      <c r="A938" s="1"/>
      <c r="B938" s="1"/>
      <c r="C938" s="27"/>
      <c r="D938" s="31"/>
      <c r="F938" s="30"/>
      <c r="G938" s="30"/>
      <c r="I938" s="30"/>
    </row>
    <row r="939" spans="1:9">
      <c r="A939" s="1"/>
      <c r="B939" s="1"/>
      <c r="C939" s="27"/>
      <c r="D939" s="31"/>
      <c r="F939" s="30"/>
      <c r="G939" s="30"/>
      <c r="I939" s="30"/>
    </row>
    <row r="940" spans="1:9">
      <c r="A940" s="1"/>
      <c r="B940" s="1"/>
      <c r="C940" s="27"/>
      <c r="D940" s="31"/>
      <c r="F940" s="30"/>
      <c r="G940" s="30"/>
      <c r="I940" s="30"/>
    </row>
    <row r="941" spans="1:9">
      <c r="A941" s="1"/>
      <c r="B941" s="1"/>
      <c r="C941" s="27"/>
      <c r="D941" s="31"/>
      <c r="F941" s="30"/>
      <c r="G941" s="30"/>
      <c r="I941" s="30"/>
    </row>
    <row r="942" spans="1:9">
      <c r="A942" s="1"/>
      <c r="B942" s="1"/>
      <c r="C942" s="27"/>
      <c r="D942" s="31"/>
      <c r="F942" s="30"/>
      <c r="G942" s="30"/>
      <c r="I942" s="30"/>
    </row>
    <row r="943" spans="1:9">
      <c r="A943" s="1"/>
      <c r="B943" s="1"/>
      <c r="C943" s="27"/>
      <c r="D943" s="31"/>
      <c r="F943" s="30"/>
      <c r="G943" s="30"/>
      <c r="I943" s="30"/>
    </row>
    <row r="944" spans="1:9">
      <c r="A944" s="1"/>
      <c r="B944" s="1"/>
      <c r="C944" s="27"/>
      <c r="D944" s="31"/>
      <c r="F944" s="30"/>
      <c r="G944" s="30"/>
      <c r="I944" s="30"/>
    </row>
    <row r="945" spans="1:9">
      <c r="A945" s="1"/>
      <c r="B945" s="1"/>
      <c r="C945" s="27"/>
      <c r="D945" s="31"/>
      <c r="F945" s="30"/>
      <c r="G945" s="30"/>
      <c r="I945" s="30"/>
    </row>
    <row r="946" spans="1:9">
      <c r="A946" s="1"/>
      <c r="B946" s="1"/>
      <c r="C946" s="27"/>
      <c r="D946" s="31"/>
      <c r="F946" s="30"/>
      <c r="G946" s="30"/>
      <c r="I946" s="30"/>
    </row>
    <row r="947" spans="1:9">
      <c r="A947" s="1"/>
      <c r="B947" s="1"/>
      <c r="C947" s="27"/>
      <c r="D947" s="31"/>
      <c r="F947" s="30"/>
      <c r="G947" s="30"/>
      <c r="I947" s="30"/>
    </row>
    <row r="948" spans="1:9">
      <c r="A948" s="1"/>
      <c r="B948" s="1"/>
      <c r="C948" s="27"/>
      <c r="D948" s="31"/>
      <c r="F948" s="30"/>
      <c r="G948" s="30"/>
      <c r="I948" s="30"/>
    </row>
    <row r="949" spans="1:9">
      <c r="A949" s="1"/>
      <c r="B949" s="1"/>
      <c r="C949" s="27"/>
      <c r="D949" s="31"/>
      <c r="F949" s="30"/>
      <c r="G949" s="30"/>
      <c r="I949" s="30"/>
    </row>
    <row r="950" spans="1:9">
      <c r="A950" s="1"/>
      <c r="B950" s="1"/>
      <c r="C950" s="27"/>
      <c r="D950" s="31"/>
      <c r="F950" s="30"/>
      <c r="G950" s="30"/>
      <c r="I950" s="30"/>
    </row>
    <row r="951" spans="1:9">
      <c r="A951" s="1"/>
      <c r="B951" s="1"/>
      <c r="C951" s="27"/>
      <c r="D951" s="31"/>
      <c r="F951" s="30"/>
      <c r="G951" s="30"/>
      <c r="I951" s="30"/>
    </row>
    <row r="952" spans="1:9">
      <c r="A952" s="1"/>
      <c r="B952" s="1"/>
      <c r="C952" s="27"/>
      <c r="D952" s="31"/>
      <c r="F952" s="30"/>
      <c r="G952" s="30"/>
      <c r="I952" s="30"/>
    </row>
    <row r="953" spans="1:9">
      <c r="A953" s="1"/>
      <c r="B953" s="1"/>
      <c r="C953" s="27"/>
      <c r="D953" s="31"/>
      <c r="F953" s="30"/>
      <c r="G953" s="30"/>
      <c r="I953" s="30"/>
    </row>
    <row r="954" spans="1:9">
      <c r="A954" s="1"/>
      <c r="B954" s="1"/>
      <c r="C954" s="27"/>
      <c r="D954" s="31"/>
      <c r="F954" s="30"/>
      <c r="G954" s="30"/>
      <c r="I954" s="30"/>
    </row>
    <row r="955" spans="1:9">
      <c r="A955" s="1"/>
      <c r="B955" s="1"/>
      <c r="C955" s="27"/>
      <c r="D955" s="31"/>
      <c r="F955" s="30"/>
      <c r="G955" s="30"/>
      <c r="I955" s="30"/>
    </row>
    <row r="956" spans="1:9">
      <c r="A956" s="1"/>
      <c r="B956" s="1"/>
      <c r="C956" s="27"/>
      <c r="D956" s="31"/>
      <c r="F956" s="30"/>
      <c r="G956" s="30"/>
      <c r="I956" s="30"/>
    </row>
    <row r="957" spans="1:9">
      <c r="A957" s="1"/>
      <c r="B957" s="1"/>
      <c r="C957" s="27"/>
      <c r="D957" s="31"/>
      <c r="F957" s="30"/>
      <c r="G957" s="30"/>
      <c r="I957" s="30"/>
    </row>
    <row r="958" spans="1:9">
      <c r="A958" s="1"/>
      <c r="B958" s="1"/>
      <c r="C958" s="27"/>
      <c r="D958" s="31"/>
      <c r="F958" s="30"/>
      <c r="G958" s="30"/>
      <c r="I958" s="30"/>
    </row>
    <row r="959" spans="1:9">
      <c r="A959" s="1"/>
      <c r="B959" s="1"/>
      <c r="C959" s="27"/>
      <c r="D959" s="31"/>
      <c r="F959" s="30"/>
      <c r="G959" s="30"/>
      <c r="I959" s="30"/>
    </row>
    <row r="960" spans="1:9">
      <c r="A960" s="1"/>
      <c r="B960" s="1"/>
      <c r="C960" s="27"/>
      <c r="D960" s="31"/>
      <c r="F960" s="30"/>
      <c r="G960" s="30"/>
      <c r="I960" s="30"/>
    </row>
    <row r="961" spans="1:9">
      <c r="A961" s="1"/>
      <c r="B961" s="1"/>
      <c r="C961" s="27"/>
      <c r="D961" s="31"/>
      <c r="F961" s="30"/>
      <c r="G961" s="30"/>
      <c r="I961" s="30"/>
    </row>
    <row r="962" spans="1:9">
      <c r="A962" s="1"/>
      <c r="B962" s="1"/>
      <c r="C962" s="27"/>
      <c r="D962" s="31"/>
      <c r="F962" s="30"/>
      <c r="G962" s="30"/>
      <c r="I962" s="30"/>
    </row>
    <row r="963" spans="1:9">
      <c r="A963" s="1"/>
      <c r="B963" s="1"/>
      <c r="C963" s="27"/>
      <c r="D963" s="31"/>
      <c r="F963" s="30"/>
      <c r="G963" s="30"/>
    </row>
    <row r="964" spans="1:9">
      <c r="A964" s="1"/>
      <c r="I964" s="30"/>
    </row>
    <row r="965" spans="1:9">
      <c r="A965" s="1"/>
      <c r="B965" s="1"/>
      <c r="C965" s="37"/>
      <c r="D965" s="31"/>
      <c r="F965" s="30"/>
      <c r="G965" s="30"/>
      <c r="I965" s="30"/>
    </row>
    <row r="966" spans="1:9">
      <c r="A966" s="1"/>
      <c r="B966" s="1"/>
      <c r="C966" s="37"/>
      <c r="D966" s="31"/>
      <c r="F966" s="30"/>
      <c r="G966" s="30"/>
      <c r="I966" s="30"/>
    </row>
    <row r="967" spans="1:9">
      <c r="A967" s="1"/>
      <c r="B967" s="1"/>
      <c r="C967" s="37"/>
      <c r="D967" s="31"/>
      <c r="F967" s="30"/>
      <c r="G967" s="30"/>
      <c r="I967" s="30"/>
    </row>
    <row r="968" spans="1:9">
      <c r="A968" s="1"/>
      <c r="B968" s="1"/>
      <c r="C968" s="37"/>
      <c r="D968" s="31"/>
      <c r="F968" s="30"/>
      <c r="G968" s="30"/>
      <c r="I968" s="30"/>
    </row>
    <row r="969" spans="1:9">
      <c r="A969" s="1"/>
      <c r="B969" s="1"/>
      <c r="C969" s="37"/>
      <c r="D969" s="31"/>
      <c r="F969" s="30"/>
      <c r="G969" s="30"/>
      <c r="I969" s="30"/>
    </row>
    <row r="970" spans="1:9">
      <c r="A970" s="1"/>
      <c r="B970" s="1"/>
      <c r="C970" s="37"/>
      <c r="D970" s="31"/>
      <c r="F970" s="30"/>
      <c r="G970" s="30"/>
      <c r="I970" s="30"/>
    </row>
    <row r="971" spans="1:9">
      <c r="A971" s="1"/>
      <c r="B971" s="1"/>
      <c r="C971" s="37"/>
      <c r="D971" s="31"/>
      <c r="F971" s="30"/>
      <c r="G971" s="30"/>
      <c r="I971" s="30"/>
    </row>
    <row r="972" spans="1:9">
      <c r="A972" s="1"/>
      <c r="B972" s="1"/>
      <c r="C972" s="37"/>
      <c r="D972" s="31"/>
      <c r="F972" s="30"/>
      <c r="G972" s="30"/>
      <c r="I972" s="30"/>
    </row>
    <row r="973" spans="1:9">
      <c r="A973" s="1"/>
      <c r="B973" s="1"/>
      <c r="C973" s="37"/>
      <c r="D973" s="31"/>
      <c r="F973" s="30"/>
      <c r="G973" s="30"/>
      <c r="I973" s="30"/>
    </row>
    <row r="974" spans="1:9">
      <c r="A974" s="1"/>
      <c r="B974" s="1"/>
      <c r="C974" s="37"/>
      <c r="D974" s="31"/>
      <c r="F974" s="30"/>
      <c r="G974" s="30"/>
      <c r="I974" s="30"/>
    </row>
    <row r="975" spans="1:9">
      <c r="A975" s="1"/>
      <c r="B975" s="1"/>
      <c r="C975" s="37"/>
      <c r="D975" s="31"/>
      <c r="F975" s="30"/>
      <c r="G975" s="30"/>
      <c r="I975" s="30"/>
    </row>
    <row r="976" spans="1:9">
      <c r="A976" s="1"/>
      <c r="B976" s="1"/>
      <c r="C976" s="37"/>
      <c r="D976" s="31"/>
      <c r="F976" s="30"/>
      <c r="G976" s="30"/>
      <c r="I976" s="30"/>
    </row>
    <row r="977" spans="1:9">
      <c r="A977" s="1"/>
      <c r="B977" s="1"/>
      <c r="C977" s="37"/>
      <c r="D977" s="31"/>
      <c r="F977" s="30"/>
      <c r="G977" s="30"/>
      <c r="I977" s="30"/>
    </row>
    <row r="978" spans="1:9">
      <c r="A978" s="1"/>
      <c r="B978" s="1"/>
      <c r="C978" s="37"/>
      <c r="D978" s="31"/>
      <c r="F978" s="30"/>
      <c r="G978" s="30"/>
      <c r="I978" s="30"/>
    </row>
    <row r="979" spans="1:9">
      <c r="A979" s="1"/>
      <c r="B979" s="1"/>
      <c r="C979" s="37"/>
      <c r="D979" s="31"/>
      <c r="F979" s="30"/>
      <c r="G979" s="30"/>
      <c r="I979" s="30"/>
    </row>
    <row r="980" spans="1:9">
      <c r="A980" s="1"/>
      <c r="B980" s="1"/>
      <c r="C980" s="37"/>
      <c r="D980" s="31"/>
      <c r="F980" s="30"/>
      <c r="G980" s="30"/>
      <c r="I980" s="30"/>
    </row>
    <row r="981" spans="1:9">
      <c r="A981" s="1"/>
      <c r="B981" s="1"/>
      <c r="C981" s="37"/>
      <c r="D981" s="31"/>
      <c r="F981" s="30"/>
      <c r="G981" s="30"/>
      <c r="I981" s="30"/>
    </row>
    <row r="982" spans="1:9">
      <c r="A982" s="1"/>
      <c r="B982" s="1"/>
      <c r="C982" s="37"/>
      <c r="D982" s="31"/>
      <c r="F982" s="30"/>
      <c r="G982" s="30"/>
      <c r="I982" s="30"/>
    </row>
    <row r="983" spans="1:9">
      <c r="A983" s="1"/>
      <c r="B983" s="1"/>
      <c r="C983" s="37"/>
      <c r="D983" s="31"/>
      <c r="F983" s="30"/>
      <c r="G983" s="30"/>
      <c r="I983" s="30"/>
    </row>
    <row r="984" spans="1:9">
      <c r="A984" s="1"/>
      <c r="B984" s="1"/>
      <c r="C984" s="37"/>
      <c r="D984" s="31"/>
      <c r="F984" s="30"/>
      <c r="G984" s="30"/>
      <c r="I984" s="30"/>
    </row>
    <row r="985" spans="1:9">
      <c r="A985" s="1"/>
      <c r="B985" s="1"/>
      <c r="C985" s="37"/>
      <c r="D985" s="31"/>
      <c r="F985" s="30"/>
      <c r="G985" s="30"/>
      <c r="I985" s="30"/>
    </row>
    <row r="986" spans="1:9">
      <c r="A986" s="1"/>
      <c r="B986" s="1"/>
      <c r="C986" s="37"/>
      <c r="D986" s="31"/>
      <c r="F986" s="30"/>
      <c r="G986" s="30"/>
      <c r="I986" s="30"/>
    </row>
    <row r="987" spans="1:9">
      <c r="A987" s="1"/>
      <c r="B987" s="1"/>
      <c r="C987" s="37"/>
      <c r="D987" s="31"/>
      <c r="F987" s="30"/>
      <c r="G987" s="30"/>
      <c r="I987" s="30"/>
    </row>
    <row r="988" spans="1:9">
      <c r="A988" s="1"/>
      <c r="B988" s="1"/>
      <c r="C988" s="37"/>
      <c r="D988" s="31"/>
      <c r="F988" s="30"/>
      <c r="G988" s="30"/>
      <c r="I988" s="30"/>
    </row>
    <row r="989" spans="1:9">
      <c r="A989" s="1"/>
      <c r="B989" s="1"/>
      <c r="C989" s="37"/>
      <c r="D989" s="31"/>
      <c r="F989" s="30"/>
      <c r="G989" s="30"/>
      <c r="I989" s="30"/>
    </row>
    <row r="990" spans="1:9">
      <c r="A990" s="1"/>
      <c r="B990" s="1"/>
      <c r="C990" s="37"/>
      <c r="D990" s="31"/>
      <c r="F990" s="30"/>
      <c r="G990" s="30"/>
      <c r="I990" s="30"/>
    </row>
    <row r="991" spans="1:9">
      <c r="A991" s="1"/>
      <c r="B991" s="1"/>
      <c r="C991" s="37"/>
      <c r="D991" s="31"/>
      <c r="F991" s="30"/>
      <c r="G991" s="30"/>
      <c r="I991" s="30"/>
    </row>
    <row r="992" spans="1:9">
      <c r="A992" s="1"/>
      <c r="B992" s="1"/>
      <c r="C992" s="37"/>
      <c r="D992" s="31"/>
      <c r="F992" s="30"/>
      <c r="G992" s="30"/>
      <c r="I992" s="30"/>
    </row>
    <row r="993" spans="1:9">
      <c r="A993" s="1"/>
      <c r="B993" s="1"/>
      <c r="C993" s="37"/>
      <c r="D993" s="31"/>
      <c r="F993" s="30"/>
      <c r="G993" s="30"/>
      <c r="I993" s="30"/>
    </row>
    <row r="994" spans="1:9">
      <c r="A994" s="1"/>
      <c r="B994" s="1"/>
      <c r="C994" s="37"/>
      <c r="D994" s="31"/>
      <c r="F994" s="30"/>
      <c r="G994" s="30"/>
      <c r="I994" s="30"/>
    </row>
    <row r="995" spans="1:9">
      <c r="A995" s="1"/>
      <c r="B995" s="1"/>
      <c r="C995" s="37"/>
      <c r="D995" s="31"/>
      <c r="F995" s="30"/>
      <c r="G995" s="30"/>
      <c r="I995" s="30"/>
    </row>
    <row r="996" spans="1:9">
      <c r="A996" s="1"/>
      <c r="B996" s="1"/>
      <c r="C996" s="37"/>
      <c r="D996" s="31"/>
      <c r="F996" s="30"/>
      <c r="G996" s="30"/>
      <c r="I996" s="30"/>
    </row>
    <row r="997" spans="1:9">
      <c r="A997" s="1"/>
      <c r="B997" s="1"/>
      <c r="C997" s="37"/>
      <c r="D997" s="31"/>
      <c r="F997" s="30"/>
      <c r="G997" s="30"/>
      <c r="I997" s="30"/>
    </row>
    <row r="998" spans="1:9">
      <c r="A998" s="1"/>
      <c r="B998" s="1"/>
      <c r="C998" s="37"/>
      <c r="D998" s="31"/>
      <c r="F998" s="30"/>
      <c r="G998" s="30"/>
      <c r="I998" s="30"/>
    </row>
    <row r="999" spans="1:9">
      <c r="A999" s="1"/>
      <c r="B999" s="1"/>
      <c r="C999" s="37"/>
      <c r="D999" s="31"/>
      <c r="F999" s="30"/>
      <c r="G999" s="30"/>
      <c r="I999" s="30"/>
    </row>
    <row r="1000" spans="1:9">
      <c r="A1000" s="1"/>
      <c r="B1000" s="1"/>
      <c r="C1000" s="37"/>
      <c r="D1000" s="31"/>
      <c r="F1000" s="30"/>
      <c r="G1000" s="30"/>
      <c r="I1000" s="30"/>
    </row>
    <row r="1001" spans="1:9">
      <c r="A1001" s="1"/>
      <c r="B1001" s="1"/>
      <c r="C1001" s="27"/>
      <c r="D1001" s="31"/>
      <c r="F1001" s="30"/>
      <c r="G1001" s="30"/>
      <c r="I1001" s="30"/>
    </row>
    <row r="1002" spans="1:9">
      <c r="A1002" s="1"/>
      <c r="B1002" s="1"/>
      <c r="C1002" s="27"/>
      <c r="D1002" s="31"/>
      <c r="F1002" s="30"/>
      <c r="G1002" s="30"/>
      <c r="I1002" s="30"/>
    </row>
    <row r="1003" spans="1:9">
      <c r="A1003" s="1"/>
      <c r="B1003" s="1"/>
      <c r="C1003" s="27"/>
      <c r="D1003" s="31"/>
      <c r="F1003" s="30"/>
      <c r="G1003" s="30"/>
      <c r="I1003" s="30"/>
    </row>
    <row r="1004" spans="1:9">
      <c r="A1004" s="1"/>
      <c r="B1004" s="1"/>
      <c r="C1004" s="27"/>
      <c r="D1004" s="31"/>
      <c r="F1004" s="30"/>
      <c r="G1004" s="30"/>
      <c r="I1004" s="30"/>
    </row>
    <row r="1005" spans="1:9">
      <c r="A1005" s="1"/>
      <c r="B1005" s="1"/>
      <c r="C1005" s="27"/>
      <c r="D1005" s="31"/>
      <c r="F1005" s="30"/>
      <c r="G1005" s="30"/>
      <c r="I1005" s="30"/>
    </row>
    <row r="1006" spans="1:9">
      <c r="A1006" s="1"/>
      <c r="B1006" s="1"/>
      <c r="C1006" s="27"/>
      <c r="D1006" s="31"/>
      <c r="F1006" s="30"/>
      <c r="G1006" s="30"/>
      <c r="I1006" s="30"/>
    </row>
    <row r="1007" spans="1:9">
      <c r="A1007" s="1"/>
      <c r="B1007" s="1"/>
      <c r="C1007" s="27"/>
      <c r="D1007" s="31"/>
      <c r="F1007" s="30"/>
      <c r="G1007" s="30"/>
      <c r="I1007" s="30"/>
    </row>
    <row r="1008" spans="1:9">
      <c r="A1008" s="1"/>
      <c r="B1008" s="1"/>
      <c r="C1008" s="27"/>
      <c r="D1008" s="31"/>
      <c r="F1008" s="30"/>
      <c r="G1008" s="30"/>
      <c r="I1008" s="30"/>
    </row>
    <row r="1009" spans="1:9">
      <c r="A1009" s="1"/>
      <c r="B1009" s="1"/>
      <c r="C1009" s="27"/>
      <c r="D1009" s="31"/>
      <c r="F1009" s="30"/>
      <c r="G1009" s="30"/>
      <c r="I1009" s="30"/>
    </row>
    <row r="1010" spans="1:9">
      <c r="A1010" s="1"/>
      <c r="B1010" s="1"/>
      <c r="C1010" s="27"/>
      <c r="D1010" s="31"/>
      <c r="F1010" s="30"/>
      <c r="G1010" s="30"/>
      <c r="I1010" s="30"/>
    </row>
    <row r="1011" spans="1:9">
      <c r="A1011" s="1"/>
      <c r="B1011" s="1"/>
      <c r="C1011" s="27"/>
      <c r="D1011" s="31"/>
      <c r="F1011" s="30"/>
      <c r="G1011" s="30"/>
      <c r="I1011" s="30"/>
    </row>
    <row r="1012" spans="1:9">
      <c r="A1012" s="1"/>
      <c r="B1012" s="1"/>
      <c r="C1012" s="27"/>
      <c r="D1012" s="31"/>
      <c r="F1012" s="30"/>
      <c r="G1012" s="30"/>
      <c r="I1012" s="30"/>
    </row>
    <row r="1013" spans="1:9">
      <c r="A1013" s="1"/>
      <c r="B1013" s="1"/>
      <c r="C1013" s="27"/>
      <c r="D1013" s="31"/>
      <c r="F1013" s="30"/>
      <c r="G1013" s="30"/>
      <c r="I1013" s="30"/>
    </row>
    <row r="1014" spans="1:9">
      <c r="A1014" s="1"/>
      <c r="B1014" s="1"/>
      <c r="C1014" s="27"/>
      <c r="D1014" s="31"/>
      <c r="F1014" s="30"/>
      <c r="G1014" s="30"/>
      <c r="I1014" s="30"/>
    </row>
    <row r="1015" spans="1:9">
      <c r="A1015" s="1"/>
      <c r="B1015" s="1"/>
      <c r="C1015" s="27"/>
      <c r="D1015" s="31"/>
      <c r="F1015" s="30"/>
      <c r="G1015" s="30"/>
      <c r="I1015" s="30"/>
    </row>
    <row r="1016" spans="1:9">
      <c r="A1016" s="1"/>
      <c r="B1016" s="1"/>
      <c r="C1016" s="27"/>
      <c r="D1016" s="31"/>
      <c r="F1016" s="30"/>
      <c r="G1016" s="30"/>
      <c r="I1016" s="30"/>
    </row>
    <row r="1017" spans="1:9">
      <c r="A1017" s="1"/>
      <c r="B1017" s="1"/>
      <c r="C1017" s="27"/>
      <c r="D1017" s="31"/>
      <c r="F1017" s="30"/>
      <c r="G1017" s="30"/>
      <c r="I1017" s="30"/>
    </row>
    <row r="1018" spans="1:9">
      <c r="A1018" s="1"/>
      <c r="B1018" s="1"/>
      <c r="C1018" s="27"/>
      <c r="D1018" s="31"/>
      <c r="F1018" s="30"/>
      <c r="G1018" s="30"/>
      <c r="I1018" s="30"/>
    </row>
    <row r="1019" spans="1:9">
      <c r="A1019" s="1"/>
      <c r="B1019" s="1"/>
      <c r="C1019" s="27"/>
      <c r="D1019" s="31"/>
      <c r="F1019" s="30"/>
      <c r="G1019" s="30"/>
      <c r="I1019" s="30"/>
    </row>
    <row r="1020" spans="1:9">
      <c r="A1020" s="1"/>
      <c r="B1020" s="1"/>
      <c r="C1020" s="27"/>
      <c r="D1020" s="31"/>
      <c r="F1020" s="30"/>
      <c r="G1020" s="30"/>
      <c r="I1020" s="30"/>
    </row>
    <row r="1021" spans="1:9">
      <c r="A1021" s="1"/>
      <c r="B1021" s="1"/>
      <c r="C1021" s="27"/>
      <c r="D1021" s="31"/>
      <c r="F1021" s="30"/>
      <c r="G1021" s="30"/>
      <c r="I1021" s="30"/>
    </row>
    <row r="1022" spans="1:9">
      <c r="A1022" s="1"/>
      <c r="B1022" s="1"/>
      <c r="C1022" s="27"/>
      <c r="D1022" s="31"/>
      <c r="F1022" s="30"/>
      <c r="G1022" s="30"/>
      <c r="I1022" s="30"/>
    </row>
    <row r="1023" spans="1:9">
      <c r="A1023" s="1"/>
      <c r="B1023" s="1"/>
      <c r="C1023" s="27"/>
      <c r="D1023" s="31"/>
      <c r="F1023" s="30"/>
      <c r="G1023" s="30"/>
      <c r="I1023" s="30"/>
    </row>
    <row r="1024" spans="1:9">
      <c r="A1024" s="1"/>
      <c r="B1024" s="1"/>
      <c r="C1024" s="27"/>
      <c r="D1024" s="31"/>
      <c r="F1024" s="30"/>
      <c r="G1024" s="30"/>
      <c r="I1024" s="30"/>
    </row>
    <row r="1025" spans="1:9">
      <c r="A1025" s="1"/>
      <c r="B1025" s="1"/>
      <c r="C1025" s="27"/>
      <c r="D1025" s="31"/>
      <c r="F1025" s="30"/>
      <c r="G1025" s="30"/>
      <c r="I1025" s="30"/>
    </row>
    <row r="1026" spans="1:9">
      <c r="A1026" s="1"/>
      <c r="B1026" s="1"/>
      <c r="C1026" s="27"/>
      <c r="D1026" s="31"/>
      <c r="F1026" s="30"/>
      <c r="G1026" s="30"/>
      <c r="I1026" s="30"/>
    </row>
    <row r="1027" spans="1:9">
      <c r="A1027" s="1"/>
      <c r="B1027" s="1"/>
      <c r="C1027" s="27"/>
      <c r="D1027" s="31"/>
      <c r="F1027" s="30"/>
      <c r="G1027" s="30"/>
      <c r="I1027" s="30"/>
    </row>
    <row r="1028" spans="1:9">
      <c r="A1028" s="1"/>
      <c r="B1028" s="1"/>
      <c r="C1028" s="27"/>
      <c r="D1028" s="31"/>
      <c r="F1028" s="30"/>
      <c r="G1028" s="30"/>
      <c r="I1028" s="30"/>
    </row>
    <row r="1029" spans="1:9">
      <c r="A1029" s="1"/>
      <c r="B1029" s="1"/>
      <c r="C1029" s="27"/>
      <c r="D1029" s="31"/>
      <c r="F1029" s="30"/>
      <c r="G1029" s="30"/>
      <c r="I1029" s="30"/>
    </row>
    <row r="1030" spans="1:9">
      <c r="A1030" s="1"/>
      <c r="B1030" s="1"/>
      <c r="C1030" s="27"/>
      <c r="D1030" s="31"/>
      <c r="F1030" s="30"/>
      <c r="G1030" s="30"/>
      <c r="I1030" s="30"/>
    </row>
    <row r="1031" spans="1:9">
      <c r="A1031" s="1"/>
      <c r="B1031" s="1"/>
      <c r="C1031" s="27"/>
      <c r="D1031" s="31"/>
      <c r="F1031" s="30"/>
      <c r="G1031" s="30"/>
      <c r="I1031" s="30"/>
    </row>
    <row r="1032" spans="1:9">
      <c r="A1032" s="1"/>
      <c r="B1032" s="1"/>
      <c r="C1032" s="27"/>
      <c r="D1032" s="31"/>
      <c r="F1032" s="30"/>
      <c r="G1032" s="30"/>
      <c r="I1032" s="30"/>
    </row>
    <row r="1033" spans="1:9">
      <c r="A1033" s="1"/>
      <c r="B1033" s="1"/>
      <c r="C1033" s="27"/>
      <c r="D1033" s="31"/>
      <c r="F1033" s="30"/>
      <c r="G1033" s="30"/>
      <c r="I1033" s="30"/>
    </row>
    <row r="1034" spans="1:9">
      <c r="A1034" s="1"/>
      <c r="B1034" s="1"/>
      <c r="C1034" s="27"/>
      <c r="D1034" s="31"/>
      <c r="F1034" s="30"/>
      <c r="G1034" s="30"/>
      <c r="I1034" s="30"/>
    </row>
    <row r="1035" spans="1:9">
      <c r="A1035" s="1"/>
      <c r="B1035" s="1"/>
      <c r="C1035" s="27"/>
      <c r="D1035" s="31"/>
      <c r="F1035" s="30"/>
      <c r="G1035" s="30"/>
      <c r="I1035" s="30"/>
    </row>
    <row r="1036" spans="1:9">
      <c r="A1036" s="1"/>
      <c r="B1036" s="1"/>
      <c r="C1036" s="27"/>
      <c r="D1036" s="31"/>
      <c r="F1036" s="30"/>
      <c r="G1036" s="30"/>
      <c r="I1036" s="30"/>
    </row>
    <row r="1037" spans="1:9">
      <c r="A1037" s="1"/>
      <c r="B1037" s="1"/>
      <c r="C1037" s="27"/>
      <c r="D1037" s="31"/>
      <c r="F1037" s="30"/>
      <c r="G1037" s="30"/>
      <c r="I1037" s="30"/>
    </row>
    <row r="1038" spans="1:9">
      <c r="A1038" s="1"/>
      <c r="B1038" s="1"/>
      <c r="C1038" s="27"/>
      <c r="D1038" s="31"/>
      <c r="F1038" s="30"/>
      <c r="G1038" s="30"/>
      <c r="I1038" s="30"/>
    </row>
    <row r="1039" spans="1:9">
      <c r="A1039" s="1"/>
      <c r="B1039" s="1"/>
      <c r="C1039" s="27"/>
      <c r="D1039" s="31"/>
      <c r="F1039" s="30"/>
      <c r="G1039" s="30"/>
      <c r="I1039" s="30"/>
    </row>
    <row r="1040" spans="1:9">
      <c r="A1040" s="1"/>
      <c r="B1040" s="1"/>
      <c r="C1040" s="27"/>
      <c r="D1040" s="31"/>
      <c r="F1040" s="30"/>
      <c r="G1040" s="30"/>
      <c r="I1040" s="30"/>
    </row>
    <row r="1041" spans="1:9">
      <c r="A1041" s="1"/>
      <c r="B1041" s="1"/>
      <c r="C1041" s="27"/>
      <c r="D1041" s="31"/>
      <c r="F1041" s="30"/>
      <c r="G1041" s="30"/>
      <c r="I1041" s="30"/>
    </row>
    <row r="1042" spans="1:9">
      <c r="A1042" s="1"/>
      <c r="B1042" s="1"/>
      <c r="C1042" s="27"/>
      <c r="D1042" s="31"/>
      <c r="F1042" s="30"/>
      <c r="G1042" s="30"/>
      <c r="I1042" s="30"/>
    </row>
    <row r="1043" spans="1:9">
      <c r="A1043" s="1"/>
      <c r="B1043" s="1"/>
      <c r="C1043" s="27"/>
      <c r="D1043" s="31"/>
      <c r="F1043" s="30"/>
      <c r="G1043" s="30"/>
      <c r="I1043" s="30"/>
    </row>
    <row r="1044" spans="1:9">
      <c r="A1044" s="1"/>
      <c r="B1044" s="1"/>
      <c r="C1044" s="27"/>
      <c r="D1044" s="31"/>
      <c r="F1044" s="30"/>
      <c r="G1044" s="30"/>
      <c r="I1044" s="30"/>
    </row>
    <row r="1045" spans="1:9">
      <c r="A1045" s="1"/>
      <c r="B1045" s="1"/>
      <c r="C1045" s="27"/>
      <c r="D1045" s="31"/>
      <c r="F1045" s="30"/>
      <c r="G1045" s="30"/>
      <c r="I1045" s="30"/>
    </row>
    <row r="1046" spans="1:9">
      <c r="A1046" s="1"/>
      <c r="B1046" s="1"/>
      <c r="C1046" s="27"/>
      <c r="D1046" s="31"/>
      <c r="F1046" s="30"/>
      <c r="G1046" s="30"/>
      <c r="I1046" s="30"/>
    </row>
    <row r="1047" spans="1:9">
      <c r="A1047" s="1"/>
      <c r="B1047" s="1"/>
      <c r="C1047" s="27"/>
      <c r="D1047" s="31"/>
      <c r="F1047" s="30"/>
      <c r="G1047" s="30"/>
      <c r="I1047" s="30"/>
    </row>
    <row r="1048" spans="1:9">
      <c r="A1048" s="1"/>
      <c r="B1048" s="1"/>
      <c r="C1048" s="27"/>
      <c r="D1048" s="31"/>
      <c r="F1048" s="30"/>
      <c r="G1048" s="30"/>
    </row>
    <row r="1049" spans="1:9">
      <c r="I1049" s="30"/>
    </row>
    <row r="1050" spans="1:9">
      <c r="A1050" s="1"/>
      <c r="B1050" s="1"/>
      <c r="C1050" s="27"/>
      <c r="D1050" s="31"/>
      <c r="E1050" s="37"/>
      <c r="F1050" s="30"/>
      <c r="G1050" s="30"/>
      <c r="I1050" s="30"/>
    </row>
    <row r="1051" spans="1:9">
      <c r="A1051" s="1"/>
      <c r="B1051" s="1"/>
      <c r="C1051" s="27"/>
      <c r="D1051" s="31"/>
      <c r="E1051" s="37"/>
      <c r="F1051" s="30"/>
      <c r="G1051" s="30"/>
      <c r="I1051" s="30"/>
    </row>
    <row r="1052" spans="1:9">
      <c r="A1052" s="1"/>
      <c r="B1052" s="1"/>
      <c r="C1052" s="27"/>
      <c r="D1052" s="31"/>
      <c r="E1052" s="37"/>
      <c r="F1052" s="30"/>
      <c r="G1052" s="30"/>
      <c r="I1052" s="30"/>
    </row>
    <row r="1053" spans="1:9">
      <c r="A1053" s="1"/>
      <c r="B1053" s="1"/>
      <c r="C1053" s="27"/>
      <c r="D1053" s="31"/>
      <c r="E1053" s="37"/>
      <c r="F1053" s="30"/>
      <c r="G1053" s="30"/>
      <c r="I1053" s="30"/>
    </row>
    <row r="1054" spans="1:9">
      <c r="A1054" s="1"/>
      <c r="B1054" s="1"/>
      <c r="C1054" s="27"/>
      <c r="D1054" s="31"/>
      <c r="E1054" s="37"/>
      <c r="F1054" s="30"/>
      <c r="G1054" s="30"/>
      <c r="I1054" s="30"/>
    </row>
    <row r="1055" spans="1:9">
      <c r="A1055" s="1"/>
      <c r="B1055" s="1"/>
      <c r="C1055" s="27"/>
      <c r="D1055" s="31"/>
      <c r="E1055" s="37"/>
      <c r="F1055" s="30"/>
      <c r="G1055" s="30"/>
      <c r="I1055" s="30"/>
    </row>
    <row r="1056" spans="1:9">
      <c r="A1056" s="1"/>
      <c r="B1056" s="1"/>
      <c r="C1056" s="27"/>
      <c r="D1056" s="31"/>
      <c r="E1056" s="37"/>
      <c r="F1056" s="30"/>
      <c r="G1056" s="30"/>
      <c r="I1056" s="30"/>
    </row>
    <row r="1057" spans="1:9">
      <c r="A1057" s="1"/>
      <c r="B1057" s="1"/>
      <c r="C1057" s="27"/>
      <c r="D1057" s="31"/>
      <c r="E1057" s="37"/>
      <c r="F1057" s="30"/>
      <c r="G1057" s="30"/>
      <c r="I1057" s="30"/>
    </row>
    <row r="1058" spans="1:9">
      <c r="A1058" s="1"/>
      <c r="B1058" s="1"/>
      <c r="C1058" s="27"/>
      <c r="D1058" s="31"/>
      <c r="E1058" s="37"/>
      <c r="F1058" s="30"/>
      <c r="G1058" s="30"/>
      <c r="I1058" s="30"/>
    </row>
    <row r="1059" spans="1:9">
      <c r="A1059" s="1"/>
      <c r="B1059" s="1"/>
      <c r="C1059" s="27"/>
      <c r="D1059" s="31"/>
      <c r="E1059" s="37"/>
      <c r="F1059" s="30"/>
      <c r="G1059" s="30"/>
      <c r="I1059" s="30"/>
    </row>
    <row r="1060" spans="1:9">
      <c r="A1060" s="1"/>
      <c r="B1060" s="1"/>
      <c r="C1060" s="27"/>
      <c r="D1060" s="31"/>
      <c r="E1060" s="37"/>
      <c r="F1060" s="30"/>
      <c r="G1060" s="30"/>
      <c r="I1060" s="30"/>
    </row>
    <row r="1061" spans="1:9">
      <c r="A1061" s="1"/>
      <c r="B1061" s="1"/>
      <c r="C1061" s="27"/>
      <c r="D1061" s="31"/>
      <c r="E1061" s="37"/>
      <c r="F1061" s="30"/>
      <c r="G1061" s="30"/>
      <c r="I1061" s="30"/>
    </row>
    <row r="1062" spans="1:9">
      <c r="A1062" s="1"/>
      <c r="B1062" s="1"/>
      <c r="C1062" s="27"/>
      <c r="D1062" s="31"/>
      <c r="E1062" s="37"/>
      <c r="F1062" s="30"/>
      <c r="G1062" s="30"/>
      <c r="I1062" s="30"/>
    </row>
    <row r="1063" spans="1:9">
      <c r="A1063" s="1"/>
      <c r="B1063" s="1"/>
      <c r="C1063" s="27"/>
      <c r="D1063" s="31"/>
      <c r="E1063" s="37"/>
      <c r="F1063" s="30"/>
      <c r="G1063" s="30"/>
      <c r="I1063" s="30"/>
    </row>
    <row r="1064" spans="1:9">
      <c r="A1064" s="1"/>
      <c r="B1064" s="1"/>
      <c r="C1064" s="27"/>
      <c r="D1064" s="31"/>
      <c r="E1064" s="37"/>
      <c r="F1064" s="30"/>
      <c r="G1064" s="30"/>
      <c r="I1064" s="30"/>
    </row>
    <row r="1065" spans="1:9">
      <c r="A1065" s="1"/>
      <c r="B1065" s="1"/>
      <c r="C1065" s="27"/>
      <c r="D1065" s="31"/>
      <c r="E1065" s="37"/>
      <c r="F1065" s="30"/>
      <c r="G1065" s="30"/>
      <c r="I1065" s="30"/>
    </row>
    <row r="1066" spans="1:9">
      <c r="A1066" s="1"/>
      <c r="B1066" s="1"/>
      <c r="C1066" s="27"/>
      <c r="D1066" s="31"/>
      <c r="E1066" s="37"/>
      <c r="F1066" s="30"/>
      <c r="G1066" s="30"/>
      <c r="I1066" s="30"/>
    </row>
    <row r="1067" spans="1:9">
      <c r="A1067" s="1"/>
      <c r="B1067" s="1"/>
      <c r="C1067" s="27"/>
      <c r="D1067" s="31"/>
      <c r="E1067" s="37"/>
      <c r="F1067" s="30"/>
      <c r="G1067" s="30"/>
      <c r="I1067" s="30"/>
    </row>
    <row r="1068" spans="1:9">
      <c r="A1068" s="1"/>
      <c r="B1068" s="1"/>
      <c r="C1068" s="27"/>
      <c r="D1068" s="31"/>
      <c r="E1068" s="37"/>
      <c r="F1068" s="30"/>
      <c r="G1068" s="30"/>
      <c r="I1068" s="30"/>
    </row>
    <row r="1069" spans="1:9">
      <c r="A1069" s="1"/>
      <c r="B1069" s="1"/>
      <c r="C1069" s="27"/>
      <c r="D1069" s="31"/>
      <c r="E1069" s="37"/>
      <c r="F1069" s="30"/>
      <c r="G1069" s="30"/>
      <c r="I1069" s="30"/>
    </row>
    <row r="1070" spans="1:9">
      <c r="A1070" s="1"/>
      <c r="B1070" s="1"/>
      <c r="C1070" s="27"/>
      <c r="D1070" s="31"/>
      <c r="E1070" s="37"/>
      <c r="F1070" s="30"/>
      <c r="G1070" s="30"/>
      <c r="I1070" s="30"/>
    </row>
    <row r="1071" spans="1:9">
      <c r="A1071" s="1"/>
      <c r="B1071" s="1"/>
      <c r="C1071" s="27"/>
      <c r="D1071" s="31"/>
      <c r="E1071" s="37"/>
      <c r="F1071" s="30"/>
      <c r="G1071" s="30"/>
      <c r="I1071" s="30"/>
    </row>
    <row r="1072" spans="1:9">
      <c r="A1072" s="1"/>
      <c r="B1072" s="1"/>
      <c r="C1072" s="27"/>
      <c r="D1072" s="31"/>
      <c r="E1072" s="37"/>
      <c r="F1072" s="30"/>
      <c r="G1072" s="30"/>
      <c r="I1072" s="30"/>
    </row>
    <row r="1073" spans="1:9">
      <c r="A1073" s="1"/>
      <c r="B1073" s="1"/>
      <c r="C1073" s="27"/>
      <c r="D1073" s="31"/>
      <c r="E1073" s="37"/>
      <c r="F1073" s="30"/>
      <c r="G1073" s="30"/>
      <c r="I1073" s="30"/>
    </row>
    <row r="1074" spans="1:9">
      <c r="A1074" s="1"/>
      <c r="B1074" s="1"/>
      <c r="C1074" s="27"/>
      <c r="D1074" s="31"/>
      <c r="E1074" s="37"/>
      <c r="F1074" s="30"/>
      <c r="G1074" s="30"/>
    </row>
    <row r="1075" spans="1:9">
      <c r="A1075" s="1"/>
      <c r="B1075" s="1"/>
      <c r="C1075" s="1"/>
      <c r="D1075" s="31"/>
      <c r="I1075" s="30"/>
    </row>
    <row r="1076" spans="1:9">
      <c r="A1076" s="1"/>
      <c r="B1076" s="1"/>
      <c r="C1076" s="27"/>
      <c r="D1076" s="31"/>
      <c r="E1076" s="37"/>
      <c r="F1076" s="30"/>
      <c r="G1076" s="30"/>
      <c r="I1076" s="30"/>
    </row>
    <row r="1077" spans="1:9">
      <c r="A1077" s="1"/>
      <c r="B1077" s="1"/>
      <c r="C1077" s="27"/>
      <c r="D1077" s="31"/>
      <c r="E1077" s="37"/>
      <c r="F1077" s="30"/>
      <c r="G1077" s="30"/>
      <c r="I1077" s="30"/>
    </row>
    <row r="1078" spans="1:9">
      <c r="A1078" s="1"/>
      <c r="B1078" s="1"/>
      <c r="C1078" s="27"/>
      <c r="D1078" s="31"/>
      <c r="E1078" s="37"/>
      <c r="F1078" s="30"/>
      <c r="G1078" s="30"/>
      <c r="I1078" s="30"/>
    </row>
    <row r="1079" spans="1:9">
      <c r="A1079" s="1"/>
      <c r="B1079" s="1"/>
      <c r="C1079" s="27"/>
      <c r="D1079" s="31"/>
      <c r="E1079" s="37"/>
      <c r="F1079" s="30"/>
      <c r="G1079" s="30"/>
      <c r="I1079" s="30"/>
    </row>
    <row r="1080" spans="1:9">
      <c r="A1080" s="1"/>
      <c r="B1080" s="1"/>
      <c r="C1080" s="27"/>
      <c r="D1080" s="31"/>
      <c r="E1080" s="37"/>
      <c r="F1080" s="30"/>
      <c r="G1080" s="30"/>
      <c r="I1080" s="30"/>
    </row>
    <row r="1081" spans="1:9">
      <c r="A1081" s="1"/>
      <c r="B1081" s="1"/>
      <c r="C1081" s="27"/>
      <c r="D1081" s="31"/>
      <c r="E1081" s="37"/>
      <c r="F1081" s="30"/>
      <c r="G1081" s="30"/>
      <c r="I1081" s="30"/>
    </row>
    <row r="1082" spans="1:9">
      <c r="A1082" s="1"/>
      <c r="B1082" s="1"/>
      <c r="C1082" s="27"/>
      <c r="D1082" s="31"/>
      <c r="E1082" s="37"/>
      <c r="F1082" s="30"/>
      <c r="G1082" s="30"/>
      <c r="I1082" s="30"/>
    </row>
    <row r="1083" spans="1:9">
      <c r="A1083" s="1"/>
      <c r="B1083" s="1"/>
      <c r="C1083" s="27"/>
      <c r="D1083" s="31"/>
      <c r="E1083" s="37"/>
      <c r="F1083" s="30"/>
      <c r="G1083" s="30"/>
      <c r="I1083" s="30"/>
    </row>
    <row r="1084" spans="1:9">
      <c r="A1084" s="1"/>
      <c r="B1084" s="1"/>
      <c r="C1084" s="27"/>
      <c r="D1084" s="31"/>
      <c r="E1084" s="37"/>
      <c r="F1084" s="30"/>
      <c r="G1084" s="30"/>
      <c r="I1084" s="30"/>
    </row>
    <row r="1085" spans="1:9">
      <c r="A1085" s="1"/>
      <c r="B1085" s="1"/>
      <c r="C1085" s="27"/>
      <c r="D1085" s="31"/>
      <c r="E1085" s="37"/>
      <c r="F1085" s="30"/>
      <c r="G1085" s="30"/>
      <c r="I1085" s="30"/>
    </row>
    <row r="1086" spans="1:9">
      <c r="A1086" s="1"/>
      <c r="B1086" s="1"/>
      <c r="C1086" s="27"/>
      <c r="D1086" s="31"/>
      <c r="E1086" s="37"/>
      <c r="F1086" s="30"/>
      <c r="G1086" s="30"/>
      <c r="I1086" s="30"/>
    </row>
    <row r="1087" spans="1:9">
      <c r="A1087" s="1"/>
      <c r="B1087" s="1"/>
      <c r="C1087" s="27"/>
      <c r="D1087" s="31"/>
      <c r="E1087" s="37"/>
      <c r="F1087" s="30"/>
      <c r="G1087" s="30"/>
      <c r="I1087" s="30"/>
    </row>
    <row r="1088" spans="1:9">
      <c r="A1088" s="1"/>
      <c r="B1088" s="1"/>
      <c r="C1088" s="27"/>
      <c r="D1088" s="31"/>
      <c r="E1088" s="37"/>
      <c r="F1088" s="30"/>
      <c r="G1088" s="30"/>
      <c r="I1088" s="30"/>
    </row>
    <row r="1089" spans="1:9">
      <c r="A1089" s="1"/>
      <c r="B1089" s="1"/>
      <c r="C1089" s="27"/>
      <c r="D1089" s="31"/>
      <c r="E1089" s="37"/>
      <c r="F1089" s="30"/>
      <c r="G1089" s="30"/>
      <c r="I1089" s="30"/>
    </row>
    <row r="1090" spans="1:9">
      <c r="A1090" s="1"/>
      <c r="B1090" s="1"/>
      <c r="C1090" s="27"/>
      <c r="D1090" s="31"/>
      <c r="E1090" s="37"/>
      <c r="F1090" s="30"/>
      <c r="G1090" s="30"/>
      <c r="I1090" s="30"/>
    </row>
    <row r="1091" spans="1:9">
      <c r="A1091" s="1"/>
      <c r="B1091" s="1"/>
      <c r="C1091" s="27"/>
      <c r="D1091" s="31"/>
      <c r="E1091" s="37"/>
      <c r="F1091" s="30"/>
      <c r="G1091" s="30"/>
      <c r="I1091" s="30"/>
    </row>
    <row r="1092" spans="1:9">
      <c r="A1092" s="1"/>
      <c r="B1092" s="1"/>
      <c r="C1092" s="27"/>
      <c r="D1092" s="31"/>
      <c r="E1092" s="37"/>
      <c r="F1092" s="30"/>
      <c r="G1092" s="30"/>
      <c r="I1092" s="30"/>
    </row>
    <row r="1093" spans="1:9">
      <c r="A1093" s="1"/>
      <c r="B1093" s="1"/>
      <c r="C1093" s="27"/>
      <c r="D1093" s="31"/>
      <c r="E1093" s="37"/>
      <c r="F1093" s="30"/>
      <c r="G1093" s="30"/>
      <c r="I1093" s="30"/>
    </row>
    <row r="1094" spans="1:9">
      <c r="A1094" s="1"/>
      <c r="B1094" s="1"/>
      <c r="C1094" s="27"/>
      <c r="D1094" s="31"/>
      <c r="E1094" s="37"/>
      <c r="F1094" s="30"/>
      <c r="G1094" s="30"/>
      <c r="I1094" s="30"/>
    </row>
    <row r="1095" spans="1:9">
      <c r="A1095" s="1"/>
      <c r="B1095" s="1"/>
      <c r="C1095" s="27"/>
      <c r="D1095" s="31"/>
      <c r="E1095" s="37"/>
      <c r="F1095" s="30"/>
      <c r="G1095" s="30"/>
      <c r="I1095" s="30"/>
    </row>
    <row r="1096" spans="1:9">
      <c r="A1096" s="1"/>
      <c r="B1096" s="1"/>
      <c r="C1096" s="27"/>
      <c r="D1096" s="31"/>
      <c r="E1096" s="37"/>
      <c r="F1096" s="30"/>
      <c r="G1096" s="30"/>
      <c r="I1096" s="30"/>
    </row>
    <row r="1097" spans="1:9">
      <c r="A1097" s="1"/>
      <c r="B1097" s="1"/>
      <c r="C1097" s="27"/>
      <c r="D1097" s="31"/>
      <c r="E1097" s="37"/>
      <c r="F1097" s="30"/>
      <c r="G1097" s="30"/>
      <c r="I1097" s="30"/>
    </row>
    <row r="1098" spans="1:9">
      <c r="A1098" s="1"/>
      <c r="B1098" s="1"/>
      <c r="C1098" s="27"/>
      <c r="D1098" s="31"/>
      <c r="E1098" s="37"/>
      <c r="F1098" s="30"/>
      <c r="G1098" s="30"/>
      <c r="I1098" s="30"/>
    </row>
    <row r="1099" spans="1:9">
      <c r="A1099" s="1"/>
      <c r="B1099" s="1"/>
      <c r="C1099" s="27"/>
      <c r="D1099" s="31"/>
      <c r="E1099" s="37"/>
      <c r="F1099" s="30"/>
      <c r="G1099" s="30"/>
      <c r="I1099" s="30"/>
    </row>
    <row r="1100" spans="1:9">
      <c r="A1100" s="1"/>
      <c r="B1100" s="1"/>
      <c r="C1100" s="27"/>
      <c r="D1100" s="31"/>
      <c r="E1100" s="37"/>
      <c r="F1100" s="30"/>
      <c r="G1100" s="30"/>
      <c r="I1100" s="30"/>
    </row>
    <row r="1101" spans="1:9">
      <c r="A1101" s="1"/>
      <c r="B1101" s="1"/>
      <c r="C1101" s="27"/>
      <c r="D1101" s="31"/>
      <c r="E1101" s="37"/>
      <c r="F1101" s="30"/>
      <c r="G1101" s="30"/>
      <c r="I1101" s="30"/>
    </row>
    <row r="1102" spans="1:9">
      <c r="A1102" s="1"/>
      <c r="B1102" s="1"/>
      <c r="C1102" s="27"/>
      <c r="D1102" s="31"/>
      <c r="E1102" s="37"/>
      <c r="F1102" s="30"/>
      <c r="G1102" s="30"/>
      <c r="I1102" s="30"/>
    </row>
    <row r="1103" spans="1:9">
      <c r="A1103" s="1"/>
      <c r="B1103" s="1"/>
      <c r="C1103" s="27"/>
      <c r="D1103" s="31"/>
      <c r="E1103" s="37"/>
      <c r="F1103" s="30"/>
      <c r="G1103" s="30"/>
      <c r="I1103" s="30"/>
    </row>
    <row r="1104" spans="1:9">
      <c r="A1104" s="1"/>
      <c r="B1104" s="1"/>
      <c r="C1104" s="27"/>
      <c r="D1104" s="31"/>
      <c r="E1104" s="37"/>
      <c r="F1104" s="30"/>
      <c r="G1104" s="30"/>
      <c r="I1104" s="30"/>
    </row>
    <row r="1105" spans="1:9">
      <c r="A1105" s="1"/>
      <c r="B1105" s="1"/>
      <c r="C1105" s="27"/>
      <c r="D1105" s="31"/>
      <c r="E1105" s="37"/>
      <c r="F1105" s="30"/>
      <c r="G1105" s="30"/>
      <c r="I1105" s="30"/>
    </row>
    <row r="1106" spans="1:9">
      <c r="A1106" s="1"/>
      <c r="B1106" s="1"/>
      <c r="C1106" s="27"/>
      <c r="D1106" s="31"/>
      <c r="E1106" s="37"/>
      <c r="F1106" s="30"/>
      <c r="G1106" s="30"/>
      <c r="I1106" s="30"/>
    </row>
    <row r="1107" spans="1:9">
      <c r="A1107" s="1"/>
      <c r="B1107" s="1"/>
      <c r="C1107" s="27"/>
      <c r="D1107" s="31"/>
      <c r="E1107" s="37"/>
      <c r="F1107" s="30"/>
      <c r="G1107" s="30"/>
      <c r="I1107" s="30"/>
    </row>
    <row r="1108" spans="1:9">
      <c r="A1108" s="1"/>
      <c r="B1108" s="1"/>
      <c r="C1108" s="27"/>
      <c r="D1108" s="31"/>
      <c r="E1108" s="37"/>
      <c r="F1108" s="30"/>
      <c r="G1108" s="30"/>
      <c r="I1108" s="30"/>
    </row>
    <row r="1109" spans="1:9">
      <c r="A1109" s="1"/>
      <c r="B1109" s="1"/>
      <c r="C1109" s="27"/>
      <c r="D1109" s="31"/>
      <c r="E1109" s="37"/>
      <c r="F1109" s="30"/>
      <c r="G1109" s="30"/>
      <c r="I1109" s="30"/>
    </row>
    <row r="1110" spans="1:9">
      <c r="A1110" s="1"/>
      <c r="B1110" s="1"/>
      <c r="C1110" s="27"/>
      <c r="D1110" s="31"/>
      <c r="E1110" s="37"/>
      <c r="F1110" s="30"/>
      <c r="G1110" s="30"/>
      <c r="I1110" s="30"/>
    </row>
    <row r="1111" spans="1:9">
      <c r="A1111" s="1"/>
      <c r="B1111" s="1"/>
      <c r="C1111" s="27"/>
      <c r="D1111" s="31"/>
      <c r="E1111" s="37"/>
      <c r="F1111" s="30"/>
      <c r="G1111" s="30"/>
      <c r="I1111" s="30"/>
    </row>
    <row r="1112" spans="1:9">
      <c r="A1112" s="1"/>
      <c r="B1112" s="1"/>
      <c r="C1112" s="27"/>
      <c r="D1112" s="31"/>
      <c r="E1112" s="37"/>
      <c r="F1112" s="30"/>
      <c r="G1112" s="30"/>
      <c r="I1112" s="30"/>
    </row>
    <row r="1113" spans="1:9">
      <c r="A1113" s="1"/>
      <c r="B1113" s="1"/>
      <c r="C1113" s="27"/>
      <c r="D1113" s="31"/>
      <c r="E1113" s="37"/>
      <c r="F1113" s="30"/>
      <c r="G1113" s="30"/>
      <c r="I1113" s="30"/>
    </row>
    <row r="1114" spans="1:9">
      <c r="A1114" s="1"/>
      <c r="B1114" s="1"/>
      <c r="C1114" s="27"/>
      <c r="D1114" s="31"/>
      <c r="E1114" s="37"/>
      <c r="F1114" s="30"/>
      <c r="G1114" s="30"/>
      <c r="I1114" s="30"/>
    </row>
    <row r="1115" spans="1:9">
      <c r="A1115" s="1"/>
      <c r="B1115" s="1"/>
      <c r="C1115" s="27"/>
      <c r="D1115" s="31"/>
      <c r="E1115" s="37"/>
      <c r="F1115" s="30"/>
      <c r="G1115" s="30"/>
      <c r="I1115" s="30"/>
    </row>
    <row r="1116" spans="1:9">
      <c r="A1116" s="1"/>
      <c r="B1116" s="1"/>
      <c r="C1116" s="27"/>
      <c r="D1116" s="31"/>
      <c r="E1116" s="37"/>
      <c r="F1116" s="30"/>
      <c r="G1116" s="30"/>
      <c r="I1116" s="30"/>
    </row>
    <row r="1117" spans="1:9">
      <c r="A1117" s="1"/>
      <c r="B1117" s="1"/>
      <c r="C1117" s="27"/>
      <c r="D1117" s="31"/>
      <c r="E1117" s="37"/>
      <c r="F1117" s="30"/>
      <c r="G1117" s="30"/>
      <c r="I1117" s="30"/>
    </row>
    <row r="1118" spans="1:9">
      <c r="A1118" s="1"/>
      <c r="B1118" s="1"/>
      <c r="C1118" s="27"/>
      <c r="D1118" s="31"/>
      <c r="E1118" s="37"/>
      <c r="F1118" s="30"/>
      <c r="G1118" s="30"/>
      <c r="I1118" s="30"/>
    </row>
    <row r="1119" spans="1:9">
      <c r="A1119" s="1"/>
      <c r="B1119" s="1"/>
      <c r="C1119" s="27"/>
      <c r="D1119" s="31"/>
      <c r="E1119" s="37"/>
      <c r="F1119" s="30"/>
      <c r="G1119" s="30"/>
      <c r="I1119" s="30"/>
    </row>
    <row r="1120" spans="1:9">
      <c r="A1120" s="1"/>
      <c r="B1120" s="1"/>
      <c r="C1120" s="27"/>
      <c r="D1120" s="31"/>
      <c r="E1120" s="37"/>
      <c r="F1120" s="30"/>
      <c r="G1120" s="30"/>
      <c r="I1120" s="30"/>
    </row>
    <row r="1121" spans="1:9">
      <c r="A1121" s="1"/>
      <c r="B1121" s="1"/>
      <c r="C1121" s="27"/>
      <c r="D1121" s="31"/>
      <c r="E1121" s="37"/>
      <c r="F1121" s="30"/>
      <c r="G1121" s="30"/>
      <c r="I1121" s="30"/>
    </row>
    <row r="1122" spans="1:9">
      <c r="A1122" s="1"/>
      <c r="B1122" s="1"/>
      <c r="C1122" s="27"/>
      <c r="D1122" s="31"/>
      <c r="E1122" s="37"/>
      <c r="F1122" s="30"/>
      <c r="G1122" s="30"/>
      <c r="I1122" s="30"/>
    </row>
    <row r="1123" spans="1:9">
      <c r="A1123" s="1"/>
      <c r="B1123" s="1"/>
      <c r="C1123" s="27"/>
      <c r="D1123" s="31"/>
      <c r="E1123" s="37"/>
      <c r="F1123" s="30"/>
      <c r="G1123" s="30"/>
      <c r="I1123" s="30"/>
    </row>
    <row r="1124" spans="1:9">
      <c r="A1124" s="1"/>
      <c r="B1124" s="1"/>
      <c r="C1124" s="27"/>
      <c r="D1124" s="31"/>
      <c r="E1124" s="37"/>
      <c r="F1124" s="30"/>
      <c r="G1124" s="30"/>
      <c r="I1124" s="30"/>
    </row>
    <row r="1125" spans="1:9">
      <c r="A1125" s="1"/>
      <c r="B1125" s="1"/>
      <c r="C1125" s="27"/>
      <c r="D1125" s="31"/>
      <c r="E1125" s="37"/>
      <c r="F1125" s="30"/>
      <c r="G1125" s="30"/>
      <c r="I1125" s="30"/>
    </row>
    <row r="1126" spans="1:9">
      <c r="A1126" s="1"/>
      <c r="B1126" s="1"/>
      <c r="C1126" s="27"/>
      <c r="D1126" s="31"/>
      <c r="E1126" s="37"/>
      <c r="F1126" s="30"/>
      <c r="G1126" s="30"/>
      <c r="I1126" s="30"/>
    </row>
    <row r="1127" spans="1:9">
      <c r="A1127" s="1"/>
      <c r="B1127" s="1"/>
      <c r="C1127" s="27"/>
      <c r="D1127" s="31"/>
      <c r="E1127" s="37"/>
      <c r="F1127" s="30"/>
      <c r="G1127" s="30"/>
      <c r="I1127" s="30"/>
    </row>
    <row r="1128" spans="1:9">
      <c r="A1128" s="1"/>
      <c r="B1128" s="1"/>
      <c r="C1128" s="27"/>
      <c r="D1128" s="31"/>
      <c r="E1128" s="37"/>
      <c r="F1128" s="30"/>
      <c r="G1128" s="30"/>
      <c r="I1128" s="30"/>
    </row>
    <row r="1129" spans="1:9">
      <c r="A1129" s="1"/>
      <c r="B1129" s="1"/>
      <c r="C1129" s="27"/>
      <c r="D1129" s="31"/>
      <c r="E1129" s="37"/>
      <c r="F1129" s="30"/>
      <c r="G1129" s="30"/>
      <c r="I1129" s="30"/>
    </row>
    <row r="1130" spans="1:9">
      <c r="A1130" s="1"/>
      <c r="B1130" s="1"/>
      <c r="C1130" s="27"/>
      <c r="D1130" s="31"/>
      <c r="E1130" s="37"/>
      <c r="F1130" s="30"/>
      <c r="G1130" s="30"/>
      <c r="I1130" s="30"/>
    </row>
    <row r="1131" spans="1:9">
      <c r="A1131" s="1"/>
      <c r="B1131" s="1"/>
      <c r="C1131" s="27"/>
      <c r="D1131" s="31"/>
      <c r="E1131" s="37"/>
      <c r="F1131" s="30"/>
      <c r="G1131" s="30"/>
      <c r="I1131" s="30"/>
    </row>
    <row r="1132" spans="1:9">
      <c r="A1132" s="1"/>
      <c r="B1132" s="1"/>
      <c r="C1132" s="27"/>
      <c r="D1132" s="31"/>
      <c r="E1132" s="37"/>
      <c r="F1132" s="30"/>
      <c r="G1132" s="30"/>
      <c r="I1132" s="30"/>
    </row>
    <row r="1133" spans="1:9">
      <c r="A1133" s="1"/>
      <c r="B1133" s="1"/>
      <c r="C1133" s="27"/>
      <c r="D1133" s="31"/>
      <c r="E1133" s="37"/>
      <c r="F1133" s="30"/>
      <c r="G1133" s="30"/>
      <c r="I1133" s="30"/>
    </row>
    <row r="1134" spans="1:9">
      <c r="A1134" s="1"/>
      <c r="B1134" s="1"/>
      <c r="C1134" s="27"/>
      <c r="D1134" s="31"/>
      <c r="E1134" s="37"/>
      <c r="F1134" s="30"/>
      <c r="G1134" s="30"/>
      <c r="I1134" s="30"/>
    </row>
    <row r="1135" spans="1:9">
      <c r="A1135" s="1"/>
      <c r="B1135" s="1"/>
      <c r="C1135" s="27"/>
      <c r="D1135" s="31"/>
      <c r="E1135" s="37"/>
      <c r="F1135" s="30"/>
      <c r="G1135" s="30"/>
      <c r="I1135" s="30"/>
    </row>
    <row r="1136" spans="1:9">
      <c r="A1136" s="1"/>
      <c r="B1136" s="1"/>
      <c r="C1136" s="27"/>
      <c r="D1136" s="31"/>
      <c r="E1136" s="37"/>
      <c r="F1136" s="30"/>
      <c r="G1136" s="30"/>
      <c r="I1136" s="30"/>
    </row>
    <row r="1137" spans="1:9">
      <c r="A1137" s="1"/>
      <c r="B1137" s="1"/>
      <c r="C1137" s="27"/>
      <c r="D1137" s="31"/>
      <c r="E1137" s="37"/>
      <c r="F1137" s="30"/>
      <c r="G1137" s="30"/>
      <c r="I1137" s="30"/>
    </row>
    <row r="1138" spans="1:9">
      <c r="A1138" s="1"/>
      <c r="B1138" s="1"/>
      <c r="C1138" s="27"/>
      <c r="D1138" s="31"/>
      <c r="E1138" s="37"/>
      <c r="F1138" s="30"/>
      <c r="G1138" s="30"/>
      <c r="I1138" s="30"/>
    </row>
    <row r="1139" spans="1:9">
      <c r="A1139" s="1"/>
      <c r="B1139" s="1"/>
      <c r="C1139" s="27"/>
      <c r="D1139" s="31"/>
      <c r="E1139" s="37"/>
      <c r="F1139" s="30"/>
      <c r="G1139" s="30"/>
      <c r="I1139" s="30"/>
    </row>
    <row r="1140" spans="1:9">
      <c r="A1140" s="1"/>
      <c r="B1140" s="1"/>
      <c r="C1140" s="27"/>
      <c r="D1140" s="31"/>
      <c r="E1140" s="37"/>
      <c r="F1140" s="30"/>
      <c r="G1140" s="30"/>
      <c r="I1140" s="30"/>
    </row>
    <row r="1141" spans="1:9">
      <c r="A1141" s="1"/>
      <c r="B1141" s="1"/>
      <c r="C1141" s="27"/>
      <c r="D1141" s="31"/>
      <c r="E1141" s="37"/>
      <c r="F1141" s="30"/>
      <c r="G1141" s="30"/>
      <c r="I1141" s="30"/>
    </row>
    <row r="1142" spans="1:9">
      <c r="A1142" s="1"/>
      <c r="B1142" s="1"/>
      <c r="C1142" s="27"/>
      <c r="D1142" s="31"/>
      <c r="E1142" s="37"/>
      <c r="F1142" s="30"/>
      <c r="G1142" s="30"/>
      <c r="I1142" s="30"/>
    </row>
    <row r="1143" spans="1:9">
      <c r="A1143" s="1"/>
      <c r="B1143" s="1"/>
      <c r="C1143" s="27"/>
      <c r="D1143" s="31"/>
      <c r="E1143" s="37"/>
      <c r="F1143" s="30"/>
      <c r="G1143" s="30"/>
      <c r="I1143" s="30"/>
    </row>
    <row r="1144" spans="1:9">
      <c r="A1144" s="1"/>
      <c r="B1144" s="1"/>
      <c r="C1144" s="27"/>
      <c r="D1144" s="31"/>
      <c r="E1144" s="37"/>
      <c r="F1144" s="30"/>
      <c r="G1144" s="30"/>
      <c r="I1144" s="30"/>
    </row>
    <row r="1145" spans="1:9">
      <c r="A1145" s="1"/>
      <c r="B1145" s="1"/>
      <c r="C1145" s="27"/>
      <c r="D1145" s="31"/>
      <c r="E1145" s="37"/>
      <c r="F1145" s="30"/>
      <c r="G1145" s="30"/>
      <c r="I1145" s="30"/>
    </row>
    <row r="1146" spans="1:9">
      <c r="A1146" s="1"/>
      <c r="B1146" s="1"/>
      <c r="C1146" s="27"/>
      <c r="D1146" s="31"/>
      <c r="E1146" s="37"/>
      <c r="F1146" s="30"/>
      <c r="G1146" s="30"/>
      <c r="I1146" s="30"/>
    </row>
    <row r="1147" spans="1:9">
      <c r="A1147" s="1"/>
      <c r="B1147" s="1"/>
      <c r="C1147" s="27"/>
      <c r="D1147" s="31"/>
      <c r="E1147" s="37"/>
      <c r="F1147" s="30"/>
      <c r="G1147" s="30"/>
      <c r="I1147" s="30"/>
    </row>
    <row r="1148" spans="1:9">
      <c r="A1148" s="1"/>
      <c r="B1148" s="1"/>
      <c r="C1148" s="27"/>
      <c r="D1148" s="31"/>
      <c r="E1148" s="37"/>
      <c r="F1148" s="30"/>
      <c r="G1148" s="30"/>
      <c r="I1148" s="30"/>
    </row>
    <row r="1149" spans="1:9">
      <c r="A1149" s="1"/>
      <c r="B1149" s="1"/>
      <c r="C1149" s="27"/>
      <c r="D1149" s="31"/>
      <c r="E1149" s="37"/>
      <c r="F1149" s="30"/>
      <c r="G1149" s="30"/>
    </row>
    <row r="1150" spans="1:9">
      <c r="I1150" s="30"/>
    </row>
    <row r="1151" spans="1:9">
      <c r="A1151" s="1"/>
      <c r="B1151" s="1"/>
      <c r="C1151" s="38"/>
      <c r="D1151" s="39"/>
      <c r="E1151" s="37"/>
      <c r="F1151" s="30"/>
      <c r="G1151" s="30"/>
      <c r="I1151" s="30"/>
    </row>
    <row r="1152" spans="1:9">
      <c r="A1152" s="1"/>
      <c r="B1152" s="1"/>
      <c r="C1152" s="38"/>
      <c r="D1152" s="39"/>
      <c r="E1152" s="37"/>
      <c r="F1152" s="30"/>
      <c r="G1152" s="30"/>
      <c r="I1152" s="30"/>
    </row>
    <row r="1153" spans="1:9">
      <c r="A1153" s="1"/>
      <c r="B1153" s="1"/>
      <c r="C1153" s="38"/>
      <c r="D1153" s="39"/>
      <c r="E1153" s="37"/>
      <c r="F1153" s="30"/>
      <c r="G1153" s="30"/>
      <c r="I1153" s="30"/>
    </row>
    <row r="1154" spans="1:9">
      <c r="A1154" s="1"/>
      <c r="B1154" s="1"/>
      <c r="C1154" s="38"/>
      <c r="D1154" s="39"/>
      <c r="E1154" s="37"/>
      <c r="F1154" s="30"/>
      <c r="G1154" s="30"/>
      <c r="I1154" s="30"/>
    </row>
    <row r="1155" spans="1:9">
      <c r="A1155" s="1"/>
      <c r="B1155" s="1"/>
      <c r="C1155" s="38"/>
      <c r="D1155" s="39"/>
      <c r="E1155" s="37"/>
      <c r="F1155" s="30"/>
      <c r="G1155" s="30"/>
      <c r="I1155" s="30"/>
    </row>
    <row r="1156" spans="1:9">
      <c r="A1156" s="1"/>
      <c r="B1156" s="1"/>
      <c r="C1156" s="38"/>
      <c r="D1156" s="39"/>
      <c r="E1156" s="37"/>
      <c r="F1156" s="30"/>
      <c r="G1156" s="30"/>
      <c r="I1156" s="30"/>
    </row>
    <row r="1157" spans="1:9">
      <c r="A1157" s="1"/>
      <c r="B1157" s="1"/>
      <c r="C1157" s="38"/>
      <c r="D1157" s="39"/>
      <c r="E1157" s="37"/>
      <c r="F1157" s="30"/>
      <c r="G1157" s="30"/>
      <c r="I1157" s="30"/>
    </row>
    <row r="1158" spans="1:9">
      <c r="A1158" s="1"/>
      <c r="B1158" s="1"/>
      <c r="C1158" s="38"/>
      <c r="D1158" s="39"/>
      <c r="E1158" s="40"/>
      <c r="F1158" s="30"/>
      <c r="G1158" s="30"/>
      <c r="I1158" s="30"/>
    </row>
    <row r="1159" spans="1:9">
      <c r="A1159" s="1"/>
      <c r="B1159" s="1"/>
      <c r="C1159" s="38"/>
      <c r="D1159" s="39"/>
      <c r="E1159" s="37"/>
      <c r="F1159" s="30"/>
      <c r="G1159" s="30"/>
      <c r="I1159" s="30"/>
    </row>
    <row r="1160" spans="1:9">
      <c r="A1160" s="1"/>
      <c r="B1160" s="1"/>
      <c r="C1160" s="38"/>
      <c r="D1160" s="39"/>
      <c r="E1160" s="37"/>
      <c r="F1160" s="30"/>
      <c r="G1160" s="30"/>
      <c r="I1160" s="30"/>
    </row>
    <row r="1161" spans="1:9">
      <c r="A1161" s="1"/>
      <c r="B1161" s="1"/>
      <c r="C1161" s="38"/>
      <c r="D1161" s="39"/>
      <c r="E1161" s="37"/>
      <c r="F1161" s="30"/>
      <c r="G1161" s="30"/>
      <c r="I1161" s="30"/>
    </row>
    <row r="1162" spans="1:9">
      <c r="A1162" s="1"/>
      <c r="B1162" s="1"/>
      <c r="C1162" s="38"/>
      <c r="D1162" s="39"/>
      <c r="E1162" s="37"/>
      <c r="F1162" s="30"/>
      <c r="G1162" s="30"/>
      <c r="I1162" s="30"/>
    </row>
    <row r="1163" spans="1:9">
      <c r="A1163" s="1"/>
      <c r="B1163" s="1"/>
      <c r="C1163" s="38"/>
      <c r="D1163" s="39"/>
      <c r="E1163" s="37"/>
      <c r="F1163" s="30"/>
      <c r="G1163" s="30"/>
      <c r="I1163" s="30"/>
    </row>
    <row r="1164" spans="1:9">
      <c r="A1164" s="1"/>
      <c r="B1164" s="1"/>
      <c r="C1164" s="38"/>
      <c r="D1164" s="39"/>
      <c r="E1164" s="40"/>
      <c r="F1164" s="30"/>
      <c r="G1164" s="30"/>
      <c r="I1164" s="30"/>
    </row>
    <row r="1165" spans="1:9">
      <c r="A1165" s="1"/>
      <c r="B1165" s="1"/>
      <c r="C1165" s="38"/>
      <c r="D1165" s="39"/>
      <c r="E1165" s="37"/>
      <c r="F1165" s="30"/>
      <c r="G1165" s="30"/>
      <c r="I1165" s="30"/>
    </row>
    <row r="1166" spans="1:9">
      <c r="A1166" s="1"/>
      <c r="B1166" s="1"/>
      <c r="C1166" s="38"/>
      <c r="D1166" s="39"/>
      <c r="E1166" s="37"/>
      <c r="F1166" s="30"/>
      <c r="G1166" s="30"/>
      <c r="I1166" s="30"/>
    </row>
    <row r="1167" spans="1:9">
      <c r="A1167" s="1"/>
      <c r="B1167" s="1"/>
      <c r="C1167" s="38"/>
      <c r="D1167" s="39"/>
      <c r="E1167" s="37"/>
      <c r="F1167" s="30"/>
      <c r="G1167" s="30"/>
      <c r="I1167" s="30"/>
    </row>
    <row r="1168" spans="1:9">
      <c r="A1168" s="1"/>
      <c r="B1168" s="1"/>
      <c r="C1168" s="38"/>
      <c r="D1168" s="39"/>
      <c r="E1168" s="37"/>
      <c r="F1168" s="30"/>
      <c r="G1168" s="30"/>
      <c r="I1168" s="30"/>
    </row>
    <row r="1169" spans="1:9">
      <c r="A1169" s="1"/>
      <c r="B1169" s="1"/>
      <c r="C1169" s="38"/>
      <c r="D1169" s="39"/>
      <c r="E1169" s="37"/>
      <c r="F1169" s="30"/>
      <c r="G1169" s="30"/>
      <c r="I1169" s="30"/>
    </row>
    <row r="1170" spans="1:9">
      <c r="A1170" s="1"/>
      <c r="B1170" s="1"/>
      <c r="C1170" s="38"/>
      <c r="D1170" s="39"/>
      <c r="E1170" s="37"/>
      <c r="F1170" s="30"/>
      <c r="G1170" s="30"/>
      <c r="I1170" s="30"/>
    </row>
    <row r="1171" spans="1:9">
      <c r="A1171" s="1"/>
      <c r="B1171" s="1"/>
      <c r="C1171" s="38"/>
      <c r="D1171" s="39"/>
      <c r="E1171" s="37"/>
      <c r="F1171" s="30"/>
      <c r="G1171" s="30"/>
      <c r="I1171" s="30"/>
    </row>
    <row r="1172" spans="1:9">
      <c r="A1172" s="1"/>
      <c r="B1172" s="1"/>
      <c r="C1172" s="38"/>
      <c r="D1172" s="39"/>
      <c r="E1172" s="37"/>
      <c r="F1172" s="30"/>
      <c r="G1172" s="30"/>
      <c r="I1172" s="30"/>
    </row>
    <row r="1173" spans="1:9">
      <c r="A1173" s="1"/>
      <c r="B1173" s="1"/>
      <c r="C1173" s="38"/>
      <c r="D1173" s="39"/>
      <c r="E1173" s="40"/>
      <c r="F1173" s="30"/>
      <c r="G1173" s="30"/>
      <c r="I1173" s="30"/>
    </row>
    <row r="1174" spans="1:9">
      <c r="A1174" s="1"/>
      <c r="B1174" s="1"/>
      <c r="C1174" s="38"/>
      <c r="D1174" s="39"/>
      <c r="E1174" s="37"/>
      <c r="F1174" s="30"/>
      <c r="G1174" s="30"/>
    </row>
    <row r="1175" spans="1:9">
      <c r="I1175" s="30"/>
    </row>
    <row r="1176" spans="1:9">
      <c r="A1176" s="1"/>
      <c r="B1176" s="1"/>
      <c r="C1176" s="27"/>
      <c r="D1176" s="31"/>
      <c r="E1176" s="37"/>
      <c r="F1176" s="30"/>
      <c r="G1176" s="30"/>
      <c r="I1176" s="30"/>
    </row>
    <row r="1177" spans="1:9">
      <c r="A1177" s="1"/>
      <c r="B1177" s="1"/>
      <c r="C1177" s="27"/>
      <c r="D1177" s="31"/>
      <c r="E1177" s="37"/>
      <c r="F1177" s="30"/>
      <c r="G1177" s="30"/>
      <c r="I1177" s="30"/>
    </row>
    <row r="1178" spans="1:9">
      <c r="A1178" s="1"/>
      <c r="B1178" s="1"/>
      <c r="C1178" s="27"/>
      <c r="D1178" s="31"/>
      <c r="E1178" s="37"/>
      <c r="F1178" s="30"/>
      <c r="G1178" s="30"/>
      <c r="I1178" s="30"/>
    </row>
    <row r="1179" spans="1:9">
      <c r="A1179" s="1"/>
      <c r="B1179" s="1"/>
      <c r="C1179" s="27"/>
      <c r="D1179" s="31"/>
      <c r="E1179" s="37"/>
      <c r="F1179" s="30"/>
      <c r="G1179" s="30"/>
      <c r="I1179" s="30"/>
    </row>
    <row r="1180" spans="1:9">
      <c r="A1180" s="1"/>
      <c r="B1180" s="1"/>
      <c r="C1180" s="27"/>
      <c r="D1180" s="31"/>
      <c r="E1180" s="37"/>
      <c r="F1180" s="30"/>
      <c r="G1180" s="30"/>
      <c r="I1180" s="30"/>
    </row>
    <row r="1181" spans="1:9">
      <c r="A1181" s="1"/>
      <c r="B1181" s="1"/>
      <c r="C1181" s="27"/>
      <c r="D1181" s="31"/>
      <c r="E1181" s="37"/>
      <c r="F1181" s="30"/>
      <c r="G1181" s="30"/>
      <c r="I1181" s="30"/>
    </row>
    <row r="1182" spans="1:9">
      <c r="A1182" s="1"/>
      <c r="B1182" s="1"/>
      <c r="C1182" s="27"/>
      <c r="D1182" s="31"/>
      <c r="E1182" s="37"/>
      <c r="F1182" s="30"/>
      <c r="G1182" s="30"/>
      <c r="I1182" s="30"/>
    </row>
    <row r="1183" spans="1:9">
      <c r="A1183" s="1"/>
      <c r="B1183" s="1"/>
      <c r="C1183" s="27"/>
      <c r="D1183" s="31"/>
      <c r="E1183" s="37"/>
      <c r="F1183" s="30"/>
      <c r="G1183" s="30"/>
      <c r="I1183" s="30"/>
    </row>
    <row r="1184" spans="1:9">
      <c r="A1184" s="1"/>
      <c r="B1184" s="1"/>
      <c r="C1184" s="27"/>
      <c r="D1184" s="31"/>
      <c r="E1184" s="37"/>
      <c r="F1184" s="30"/>
      <c r="G1184" s="30"/>
      <c r="I1184" s="30"/>
    </row>
    <row r="1185" spans="1:9">
      <c r="A1185" s="1"/>
      <c r="B1185" s="1"/>
      <c r="C1185" s="27"/>
      <c r="D1185" s="31"/>
      <c r="E1185" s="37"/>
      <c r="F1185" s="30"/>
      <c r="G1185" s="30"/>
      <c r="I1185" s="30"/>
    </row>
    <row r="1186" spans="1:9">
      <c r="A1186" s="1"/>
      <c r="B1186" s="1"/>
      <c r="C1186" s="27"/>
      <c r="D1186" s="31"/>
      <c r="E1186" s="37"/>
      <c r="F1186" s="30"/>
      <c r="G1186" s="30"/>
      <c r="I1186" s="30"/>
    </row>
    <row r="1187" spans="1:9">
      <c r="A1187" s="1"/>
      <c r="B1187" s="1"/>
      <c r="C1187" s="27"/>
      <c r="D1187" s="31"/>
      <c r="E1187" s="37"/>
      <c r="F1187" s="30"/>
      <c r="G1187" s="30"/>
      <c r="I1187" s="30"/>
    </row>
    <row r="1188" spans="1:9">
      <c r="A1188" s="1"/>
      <c r="B1188" s="1"/>
      <c r="C1188" s="27"/>
      <c r="D1188" s="31"/>
      <c r="E1188" s="37"/>
      <c r="F1188" s="30"/>
      <c r="G1188" s="30"/>
      <c r="I1188" s="30"/>
    </row>
    <row r="1189" spans="1:9">
      <c r="A1189" s="1"/>
      <c r="B1189" s="1"/>
      <c r="C1189" s="27"/>
      <c r="D1189" s="31"/>
      <c r="E1189" s="37"/>
      <c r="F1189" s="30"/>
      <c r="G1189" s="30"/>
      <c r="I1189" s="30"/>
    </row>
    <row r="1190" spans="1:9">
      <c r="A1190" s="1"/>
      <c r="B1190" s="1"/>
      <c r="C1190" s="27"/>
      <c r="D1190" s="31"/>
      <c r="E1190" s="37"/>
      <c r="F1190" s="30"/>
      <c r="G1190" s="30"/>
      <c r="I1190" s="30"/>
    </row>
    <row r="1191" spans="1:9">
      <c r="A1191" s="1"/>
      <c r="B1191" s="1"/>
      <c r="C1191" s="27"/>
      <c r="D1191" s="31"/>
      <c r="E1191" s="37"/>
      <c r="F1191" s="30"/>
      <c r="G1191" s="30"/>
      <c r="I1191" s="30"/>
    </row>
    <row r="1192" spans="1:9">
      <c r="A1192" s="1"/>
      <c r="B1192" s="1"/>
      <c r="C1192" s="27"/>
      <c r="D1192" s="31"/>
      <c r="E1192" s="37"/>
      <c r="F1192" s="30"/>
      <c r="G1192" s="30"/>
      <c r="I1192" s="30"/>
    </row>
    <row r="1193" spans="1:9">
      <c r="A1193" s="1"/>
      <c r="B1193" s="1"/>
      <c r="C1193" s="27"/>
      <c r="D1193" s="31"/>
      <c r="E1193" s="37"/>
      <c r="F1193" s="30"/>
      <c r="G1193" s="30"/>
      <c r="I1193" s="30"/>
    </row>
    <row r="1194" spans="1:9">
      <c r="A1194" s="1"/>
      <c r="B1194" s="1"/>
      <c r="C1194" s="27"/>
      <c r="D1194" s="31"/>
      <c r="E1194" s="37"/>
      <c r="F1194" s="30"/>
      <c r="G1194" s="30"/>
      <c r="I1194" s="30"/>
    </row>
    <row r="1195" spans="1:9">
      <c r="A1195" s="1"/>
      <c r="B1195" s="1"/>
      <c r="C1195" s="27"/>
      <c r="D1195" s="31"/>
      <c r="E1195" s="37"/>
      <c r="F1195" s="30"/>
      <c r="G1195" s="30"/>
      <c r="I1195" s="30"/>
    </row>
    <row r="1196" spans="1:9">
      <c r="A1196" s="1"/>
      <c r="B1196" s="1"/>
      <c r="C1196" s="27"/>
      <c r="D1196" s="31"/>
      <c r="E1196" s="37"/>
      <c r="F1196" s="30"/>
      <c r="G1196" s="30"/>
      <c r="I1196" s="30"/>
    </row>
    <row r="1197" spans="1:9">
      <c r="A1197" s="1"/>
      <c r="B1197" s="1"/>
      <c r="C1197" s="27"/>
      <c r="D1197" s="31"/>
      <c r="E1197" s="37"/>
      <c r="F1197" s="30"/>
      <c r="G1197" s="30"/>
      <c r="I1197" s="30"/>
    </row>
    <row r="1198" spans="1:9">
      <c r="A1198" s="1"/>
      <c r="B1198" s="1"/>
      <c r="C1198" s="27"/>
      <c r="D1198" s="31"/>
      <c r="E1198" s="37"/>
      <c r="F1198" s="30"/>
      <c r="G1198" s="30"/>
      <c r="I1198" s="30"/>
    </row>
    <row r="1199" spans="1:9">
      <c r="A1199" s="1"/>
      <c r="B1199" s="1"/>
      <c r="C1199" s="27"/>
      <c r="D1199" s="31"/>
      <c r="E1199" s="37"/>
      <c r="F1199" s="30"/>
      <c r="G1199" s="30"/>
      <c r="I1199" s="30"/>
    </row>
    <row r="1200" spans="1:9">
      <c r="A1200" s="1"/>
      <c r="B1200" s="1"/>
      <c r="C1200" s="27"/>
      <c r="D1200" s="31"/>
      <c r="E1200" s="37"/>
      <c r="F1200" s="30"/>
      <c r="G1200" s="30"/>
      <c r="I1200" s="30"/>
    </row>
    <row r="1201" spans="1:9">
      <c r="A1201" s="1"/>
      <c r="B1201" s="1"/>
      <c r="C1201" s="27"/>
      <c r="D1201" s="31"/>
      <c r="E1201" s="37"/>
      <c r="F1201" s="30"/>
      <c r="G1201" s="30"/>
      <c r="I1201" s="30"/>
    </row>
    <row r="1202" spans="1:9">
      <c r="A1202" s="1"/>
      <c r="B1202" s="1"/>
      <c r="C1202" s="27"/>
      <c r="D1202" s="31"/>
      <c r="E1202" s="37"/>
      <c r="F1202" s="30"/>
      <c r="G1202" s="30"/>
      <c r="I1202" s="30"/>
    </row>
    <row r="1203" spans="1:9">
      <c r="A1203" s="1"/>
      <c r="B1203" s="1"/>
      <c r="C1203" s="27"/>
      <c r="D1203" s="31"/>
      <c r="E1203" s="37"/>
      <c r="F1203" s="30"/>
      <c r="G1203" s="30"/>
      <c r="I1203" s="30"/>
    </row>
    <row r="1204" spans="1:9">
      <c r="A1204" s="1"/>
      <c r="B1204" s="1"/>
      <c r="C1204" s="27"/>
      <c r="D1204" s="31"/>
      <c r="E1204" s="37"/>
      <c r="F1204" s="30"/>
      <c r="G1204" s="30"/>
      <c r="I1204" s="30"/>
    </row>
    <row r="1205" spans="1:9">
      <c r="A1205" s="1"/>
      <c r="B1205" s="1"/>
      <c r="C1205" s="27"/>
      <c r="D1205" s="31"/>
      <c r="E1205" s="37"/>
      <c r="F1205" s="30"/>
      <c r="G1205" s="30"/>
      <c r="I1205" s="30"/>
    </row>
    <row r="1206" spans="1:9">
      <c r="A1206" s="1"/>
      <c r="B1206" s="1"/>
      <c r="C1206" s="27"/>
      <c r="D1206" s="31"/>
      <c r="E1206" s="37"/>
      <c r="F1206" s="30"/>
      <c r="G1206" s="30"/>
      <c r="I1206" s="30"/>
    </row>
    <row r="1207" spans="1:9">
      <c r="A1207" s="1"/>
      <c r="B1207" s="1"/>
      <c r="C1207" s="27"/>
      <c r="D1207" s="31"/>
      <c r="E1207" s="37"/>
      <c r="F1207" s="30"/>
      <c r="G1207" s="30"/>
      <c r="I1207" s="30"/>
    </row>
    <row r="1208" spans="1:9">
      <c r="A1208" s="1"/>
      <c r="B1208" s="1"/>
      <c r="C1208" s="27"/>
      <c r="D1208" s="31"/>
      <c r="E1208" s="37"/>
      <c r="F1208" s="30"/>
      <c r="G1208" s="30"/>
      <c r="I1208" s="30"/>
    </row>
    <row r="1209" spans="1:9">
      <c r="A1209" s="1"/>
      <c r="B1209" s="1"/>
      <c r="C1209" s="27"/>
      <c r="D1209" s="31"/>
      <c r="E1209" s="37"/>
      <c r="F1209" s="30"/>
      <c r="G1209" s="30"/>
      <c r="I1209" s="30"/>
    </row>
    <row r="1210" spans="1:9">
      <c r="A1210" s="1"/>
      <c r="B1210" s="1"/>
      <c r="C1210" s="27"/>
      <c r="D1210" s="31"/>
      <c r="E1210" s="37"/>
      <c r="F1210" s="30"/>
      <c r="G1210" s="30"/>
      <c r="I1210" s="30"/>
    </row>
    <row r="1211" spans="1:9">
      <c r="A1211" s="1"/>
      <c r="B1211" s="1"/>
      <c r="C1211" s="27"/>
      <c r="D1211" s="31"/>
      <c r="E1211" s="37"/>
      <c r="F1211" s="30"/>
      <c r="G1211" s="30"/>
      <c r="I1211" s="30"/>
    </row>
    <row r="1212" spans="1:9">
      <c r="A1212" s="1"/>
      <c r="B1212" s="1"/>
      <c r="C1212" s="27"/>
      <c r="D1212" s="31"/>
      <c r="E1212" s="37"/>
      <c r="F1212" s="30"/>
      <c r="G1212" s="30"/>
      <c r="I1212" s="30"/>
    </row>
    <row r="1213" spans="1:9">
      <c r="A1213" s="1"/>
      <c r="B1213" s="1"/>
      <c r="C1213" s="27"/>
      <c r="D1213" s="31"/>
      <c r="E1213" s="37"/>
      <c r="F1213" s="30"/>
      <c r="G1213" s="30"/>
      <c r="I1213" s="30"/>
    </row>
    <row r="1214" spans="1:9">
      <c r="A1214" s="1"/>
      <c r="B1214" s="1"/>
      <c r="C1214" s="27"/>
      <c r="D1214" s="31"/>
      <c r="E1214" s="37"/>
      <c r="F1214" s="30"/>
      <c r="G1214" s="30"/>
      <c r="I1214" s="30"/>
    </row>
    <row r="1215" spans="1:9">
      <c r="A1215" s="1"/>
      <c r="B1215" s="1"/>
      <c r="C1215" s="27"/>
      <c r="D1215" s="31"/>
      <c r="E1215" s="37"/>
      <c r="F1215" s="30"/>
      <c r="G1215" s="30"/>
      <c r="I1215" s="30"/>
    </row>
    <row r="1216" spans="1:9">
      <c r="A1216" s="1"/>
      <c r="B1216" s="1"/>
      <c r="C1216" s="27"/>
      <c r="D1216" s="31"/>
      <c r="E1216" s="37"/>
      <c r="F1216" s="30"/>
      <c r="G1216" s="30"/>
      <c r="I1216" s="30"/>
    </row>
    <row r="1217" spans="1:9">
      <c r="A1217" s="1"/>
      <c r="B1217" s="1"/>
      <c r="C1217" s="27"/>
      <c r="D1217" s="31"/>
      <c r="E1217" s="37"/>
      <c r="F1217" s="30"/>
      <c r="G1217" s="30"/>
      <c r="I1217" s="30"/>
    </row>
    <row r="1218" spans="1:9">
      <c r="A1218" s="1"/>
      <c r="B1218" s="1"/>
      <c r="C1218" s="27"/>
      <c r="D1218" s="31"/>
      <c r="E1218" s="37"/>
      <c r="F1218" s="30"/>
      <c r="G1218" s="30"/>
      <c r="I1218" s="30"/>
    </row>
    <row r="1219" spans="1:9">
      <c r="A1219" s="1"/>
      <c r="B1219" s="1"/>
      <c r="C1219" s="27"/>
      <c r="D1219" s="31"/>
      <c r="E1219" s="37"/>
      <c r="F1219" s="30"/>
      <c r="G1219" s="30"/>
      <c r="I1219" s="30"/>
    </row>
    <row r="1220" spans="1:9">
      <c r="A1220" s="1"/>
      <c r="B1220" s="1"/>
      <c r="C1220" s="27"/>
      <c r="D1220" s="31"/>
      <c r="E1220" s="37"/>
      <c r="F1220" s="30"/>
      <c r="G1220" s="30"/>
      <c r="I1220" s="30"/>
    </row>
    <row r="1221" spans="1:9">
      <c r="A1221" s="1"/>
      <c r="B1221" s="1"/>
      <c r="C1221" s="27"/>
      <c r="D1221" s="31"/>
      <c r="E1221" s="37"/>
      <c r="F1221" s="30"/>
      <c r="G1221" s="30"/>
      <c r="I1221" s="30"/>
    </row>
    <row r="1222" spans="1:9">
      <c r="A1222" s="1"/>
      <c r="B1222" s="1"/>
      <c r="C1222" s="27"/>
      <c r="D1222" s="31"/>
      <c r="E1222" s="37"/>
      <c r="F1222" s="30"/>
      <c r="G1222" s="30"/>
      <c r="I1222" s="30"/>
    </row>
    <row r="1223" spans="1:9">
      <c r="A1223" s="1"/>
      <c r="B1223" s="1"/>
      <c r="C1223" s="27"/>
      <c r="D1223" s="31"/>
      <c r="E1223" s="37"/>
      <c r="F1223" s="30"/>
      <c r="G1223" s="30"/>
      <c r="I1223" s="30"/>
    </row>
    <row r="1224" spans="1:9">
      <c r="A1224" s="1"/>
      <c r="B1224" s="1"/>
      <c r="C1224" s="27"/>
      <c r="D1224" s="31"/>
      <c r="E1224" s="37"/>
      <c r="F1224" s="30"/>
      <c r="G1224" s="30"/>
      <c r="I1224" s="30"/>
    </row>
    <row r="1225" spans="1:9">
      <c r="A1225" s="1"/>
      <c r="B1225" s="1"/>
      <c r="C1225" s="27"/>
      <c r="D1225" s="31"/>
      <c r="E1225" s="37"/>
      <c r="F1225" s="30"/>
      <c r="G1225" s="30"/>
      <c r="I1225" s="30"/>
    </row>
    <row r="1226" spans="1:9">
      <c r="A1226" s="1"/>
      <c r="B1226" s="1"/>
      <c r="C1226" s="27"/>
      <c r="D1226" s="31"/>
      <c r="E1226" s="37"/>
      <c r="F1226" s="30"/>
      <c r="G1226" s="30"/>
      <c r="I1226" s="30"/>
    </row>
    <row r="1227" spans="1:9">
      <c r="A1227" s="1"/>
      <c r="B1227" s="1"/>
      <c r="C1227" s="27"/>
      <c r="D1227" s="31"/>
      <c r="E1227" s="37"/>
      <c r="F1227" s="30"/>
      <c r="G1227" s="30"/>
      <c r="I1227" s="30"/>
    </row>
    <row r="1228" spans="1:9">
      <c r="A1228" s="1"/>
      <c r="B1228" s="1"/>
      <c r="C1228" s="27"/>
      <c r="D1228" s="31"/>
      <c r="E1228" s="37"/>
      <c r="F1228" s="30"/>
      <c r="G1228" s="30"/>
      <c r="I1228" s="30"/>
    </row>
    <row r="1229" spans="1:9">
      <c r="A1229" s="1"/>
      <c r="B1229" s="1"/>
      <c r="C1229" s="27"/>
      <c r="D1229" s="31"/>
      <c r="E1229" s="37"/>
      <c r="F1229" s="30"/>
      <c r="G1229" s="30"/>
      <c r="I1229" s="30"/>
    </row>
    <row r="1230" spans="1:9">
      <c r="A1230" s="1"/>
      <c r="B1230" s="1"/>
      <c r="C1230" s="27"/>
      <c r="D1230" s="31"/>
      <c r="E1230" s="37"/>
      <c r="F1230" s="30"/>
      <c r="G1230" s="30"/>
      <c r="I1230" s="30"/>
    </row>
    <row r="1231" spans="1:9">
      <c r="A1231" s="1"/>
      <c r="B1231" s="1"/>
      <c r="C1231" s="27"/>
      <c r="D1231" s="31"/>
      <c r="E1231" s="37"/>
      <c r="F1231" s="30"/>
      <c r="G1231" s="30"/>
      <c r="I1231" s="30"/>
    </row>
    <row r="1232" spans="1:9">
      <c r="A1232" s="1"/>
      <c r="B1232" s="1"/>
      <c r="C1232" s="27"/>
      <c r="D1232" s="31"/>
      <c r="E1232" s="37"/>
      <c r="F1232" s="30"/>
      <c r="G1232" s="30"/>
      <c r="I1232" s="30"/>
    </row>
    <row r="1233" spans="1:9">
      <c r="A1233" s="1"/>
      <c r="B1233" s="1"/>
      <c r="C1233" s="27"/>
      <c r="D1233" s="31"/>
      <c r="E1233" s="37"/>
      <c r="F1233" s="30"/>
      <c r="G1233" s="30"/>
      <c r="I1233" s="30"/>
    </row>
    <row r="1234" spans="1:9">
      <c r="A1234" s="1"/>
      <c r="B1234" s="1"/>
      <c r="C1234" s="27"/>
      <c r="D1234" s="31"/>
      <c r="E1234" s="37"/>
      <c r="F1234" s="30"/>
      <c r="G1234" s="30"/>
      <c r="I1234" s="30"/>
    </row>
    <row r="1235" spans="1:9">
      <c r="A1235" s="1"/>
      <c r="B1235" s="1"/>
      <c r="C1235" s="27"/>
      <c r="D1235" s="31"/>
      <c r="E1235" s="37"/>
      <c r="F1235" s="30"/>
      <c r="G1235" s="30"/>
    </row>
    <row r="1236" spans="1:9">
      <c r="I1236" s="30"/>
    </row>
    <row r="1237" spans="1:9">
      <c r="A1237" s="1"/>
      <c r="B1237" s="1"/>
      <c r="C1237" s="34"/>
      <c r="D1237" s="31"/>
      <c r="F1237" s="30"/>
      <c r="G1237" s="30"/>
      <c r="I1237" s="30"/>
    </row>
    <row r="1238" spans="1:9">
      <c r="A1238" s="1"/>
      <c r="B1238" s="1"/>
      <c r="C1238" s="34"/>
      <c r="D1238" s="31"/>
      <c r="F1238" s="30"/>
      <c r="G1238" s="30"/>
      <c r="I1238" s="30"/>
    </row>
    <row r="1239" spans="1:9">
      <c r="A1239" s="1"/>
      <c r="B1239" s="1"/>
      <c r="C1239" s="34"/>
      <c r="D1239" s="31"/>
      <c r="F1239" s="30"/>
      <c r="G1239" s="30"/>
      <c r="I1239" s="30"/>
    </row>
    <row r="1240" spans="1:9">
      <c r="A1240" s="1"/>
      <c r="B1240" s="1"/>
      <c r="C1240" s="34"/>
      <c r="D1240" s="31"/>
      <c r="F1240" s="30"/>
      <c r="G1240" s="30"/>
      <c r="I1240" s="30"/>
    </row>
    <row r="1241" spans="1:9">
      <c r="A1241" s="1"/>
      <c r="B1241" s="1"/>
      <c r="C1241" s="34"/>
      <c r="D1241" s="31"/>
      <c r="F1241" s="30"/>
      <c r="G1241" s="30"/>
      <c r="I1241" s="30"/>
    </row>
    <row r="1242" spans="1:9">
      <c r="A1242" s="1"/>
      <c r="B1242" s="1"/>
      <c r="C1242" s="34"/>
      <c r="D1242" s="31"/>
      <c r="F1242" s="30"/>
      <c r="G1242" s="30"/>
      <c r="I1242" s="30"/>
    </row>
    <row r="1243" spans="1:9">
      <c r="A1243" s="1"/>
      <c r="B1243" s="1"/>
      <c r="C1243" s="34"/>
      <c r="D1243" s="31"/>
      <c r="F1243" s="30"/>
      <c r="G1243" s="30"/>
      <c r="I1243" s="30"/>
    </row>
    <row r="1244" spans="1:9">
      <c r="A1244" s="1"/>
      <c r="B1244" s="1"/>
      <c r="C1244" s="34"/>
      <c r="D1244" s="31"/>
      <c r="F1244" s="30"/>
      <c r="G1244" s="30"/>
      <c r="I1244" s="30"/>
    </row>
    <row r="1245" spans="1:9">
      <c r="A1245" s="1"/>
      <c r="B1245" s="1"/>
      <c r="C1245" s="34"/>
      <c r="D1245" s="31"/>
      <c r="F1245" s="30"/>
      <c r="G1245" s="30"/>
      <c r="I1245" s="30"/>
    </row>
    <row r="1246" spans="1:9">
      <c r="A1246" s="1"/>
      <c r="B1246" s="1"/>
      <c r="C1246" s="34"/>
      <c r="D1246" s="31"/>
      <c r="F1246" s="30"/>
      <c r="G1246" s="30"/>
      <c r="I1246" s="30"/>
    </row>
    <row r="1247" spans="1:9">
      <c r="A1247" s="1"/>
      <c r="B1247" s="1"/>
      <c r="C1247" s="34"/>
      <c r="D1247" s="31"/>
      <c r="F1247" s="30"/>
      <c r="G1247" s="30"/>
      <c r="I1247" s="30"/>
    </row>
    <row r="1248" spans="1:9">
      <c r="A1248" s="1"/>
      <c r="B1248" s="1"/>
      <c r="C1248" s="34"/>
      <c r="D1248" s="31"/>
      <c r="F1248" s="30"/>
      <c r="G1248" s="30"/>
      <c r="I1248" s="30"/>
    </row>
    <row r="1249" spans="1:9">
      <c r="A1249" s="1"/>
      <c r="B1249" s="1"/>
      <c r="C1249" s="34"/>
      <c r="D1249" s="31"/>
      <c r="F1249" s="30"/>
      <c r="G1249" s="30"/>
      <c r="I1249" s="30"/>
    </row>
    <row r="1250" spans="1:9">
      <c r="A1250" s="1"/>
      <c r="B1250" s="1"/>
      <c r="C1250" s="34"/>
      <c r="D1250" s="31"/>
      <c r="F1250" s="30"/>
      <c r="G1250" s="30"/>
      <c r="I1250" s="30"/>
    </row>
    <row r="1251" spans="1:9">
      <c r="A1251" s="1"/>
      <c r="B1251" s="1"/>
      <c r="C1251" s="34"/>
      <c r="D1251" s="31"/>
      <c r="F1251" s="30"/>
      <c r="G1251" s="30"/>
      <c r="I1251" s="30"/>
    </row>
    <row r="1252" spans="1:9">
      <c r="A1252" s="1"/>
      <c r="B1252" s="1"/>
      <c r="C1252" s="34"/>
      <c r="D1252" s="31"/>
      <c r="F1252" s="30"/>
      <c r="G1252" s="30"/>
      <c r="I1252" s="30"/>
    </row>
    <row r="1253" spans="1:9">
      <c r="A1253" s="1"/>
      <c r="B1253" s="1"/>
      <c r="C1253" s="34"/>
      <c r="D1253" s="31"/>
      <c r="F1253" s="30"/>
      <c r="G1253" s="30"/>
      <c r="I1253" s="30"/>
    </row>
    <row r="1254" spans="1:9">
      <c r="A1254" s="1"/>
      <c r="B1254" s="1"/>
      <c r="C1254" s="34"/>
      <c r="D1254" s="31"/>
      <c r="F1254" s="30"/>
      <c r="G1254" s="30"/>
      <c r="I1254" s="30"/>
    </row>
    <row r="1255" spans="1:9">
      <c r="A1255" s="1"/>
      <c r="B1255" s="1"/>
      <c r="C1255" s="34"/>
      <c r="D1255" s="31"/>
      <c r="F1255" s="30"/>
      <c r="G1255" s="30"/>
      <c r="I1255" s="30"/>
    </row>
    <row r="1256" spans="1:9">
      <c r="A1256" s="1"/>
      <c r="B1256" s="1"/>
      <c r="C1256" s="34"/>
      <c r="D1256" s="31"/>
      <c r="F1256" s="30"/>
      <c r="G1256" s="30"/>
      <c r="I1256" s="30"/>
    </row>
    <row r="1257" spans="1:9">
      <c r="A1257" s="1"/>
      <c r="B1257" s="1"/>
      <c r="C1257" s="34"/>
      <c r="D1257" s="31"/>
      <c r="F1257" s="30"/>
      <c r="G1257" s="30"/>
      <c r="I1257" s="30"/>
    </row>
    <row r="1258" spans="1:9">
      <c r="A1258" s="1"/>
      <c r="B1258" s="1"/>
      <c r="C1258" s="34"/>
      <c r="D1258" s="31"/>
      <c r="F1258" s="30"/>
      <c r="G1258" s="30"/>
      <c r="I1258" s="30"/>
    </row>
    <row r="1259" spans="1:9">
      <c r="A1259" s="1"/>
      <c r="B1259" s="1"/>
      <c r="C1259" s="34"/>
      <c r="D1259" s="31"/>
      <c r="F1259" s="30"/>
      <c r="G1259" s="30"/>
      <c r="I1259" s="30"/>
    </row>
    <row r="1260" spans="1:9">
      <c r="A1260" s="1"/>
      <c r="B1260" s="1"/>
      <c r="C1260" s="34"/>
      <c r="D1260" s="31"/>
      <c r="F1260" s="30"/>
      <c r="G1260" s="30"/>
      <c r="I1260" s="30"/>
    </row>
    <row r="1261" spans="1:9">
      <c r="A1261" s="1"/>
      <c r="B1261" s="1"/>
      <c r="C1261" s="34"/>
      <c r="D1261" s="31"/>
      <c r="F1261" s="30"/>
      <c r="G1261" s="30"/>
      <c r="I1261" s="30"/>
    </row>
    <row r="1262" spans="1:9">
      <c r="A1262" s="1"/>
      <c r="B1262" s="1"/>
      <c r="C1262" s="34"/>
      <c r="D1262" s="31"/>
      <c r="F1262" s="30"/>
      <c r="G1262" s="30"/>
      <c r="I1262" s="30"/>
    </row>
    <row r="1263" spans="1:9">
      <c r="A1263" s="1"/>
      <c r="B1263" s="1"/>
      <c r="C1263" s="34"/>
      <c r="D1263" s="31"/>
      <c r="F1263" s="30"/>
      <c r="G1263" s="30"/>
      <c r="I1263" s="30"/>
    </row>
    <row r="1264" spans="1:9">
      <c r="A1264" s="1"/>
      <c r="B1264" s="1"/>
      <c r="C1264" s="34"/>
      <c r="D1264" s="31"/>
      <c r="F1264" s="30"/>
      <c r="G1264" s="30"/>
      <c r="I1264" s="30"/>
    </row>
    <row r="1265" spans="1:9">
      <c r="A1265" s="1"/>
      <c r="B1265" s="1"/>
      <c r="C1265" s="34"/>
      <c r="D1265" s="31"/>
      <c r="F1265" s="30"/>
      <c r="G1265" s="30"/>
      <c r="I1265" s="30"/>
    </row>
    <row r="1266" spans="1:9">
      <c r="A1266" s="1"/>
      <c r="B1266" s="1"/>
      <c r="C1266" s="34"/>
      <c r="D1266" s="31"/>
      <c r="F1266" s="30"/>
      <c r="G1266" s="30"/>
      <c r="I1266" s="30"/>
    </row>
    <row r="1267" spans="1:9">
      <c r="A1267" s="1"/>
      <c r="B1267" s="1"/>
      <c r="C1267" s="34"/>
      <c r="D1267" s="31"/>
      <c r="F1267" s="30"/>
      <c r="G1267" s="30"/>
      <c r="I1267" s="30"/>
    </row>
    <row r="1268" spans="1:9">
      <c r="A1268" s="1"/>
      <c r="B1268" s="1"/>
      <c r="C1268" s="34"/>
      <c r="D1268" s="31"/>
      <c r="F1268" s="30"/>
      <c r="G1268" s="30"/>
      <c r="I1268" s="30"/>
    </row>
    <row r="1269" spans="1:9">
      <c r="A1269" s="1"/>
      <c r="B1269" s="1"/>
      <c r="C1269" s="34"/>
      <c r="D1269" s="31"/>
      <c r="F1269" s="30"/>
      <c r="G1269" s="30"/>
      <c r="I1269" s="30"/>
    </row>
    <row r="1270" spans="1:9">
      <c r="A1270" s="1"/>
      <c r="B1270" s="1"/>
      <c r="C1270" s="34"/>
      <c r="D1270" s="31"/>
      <c r="F1270" s="30"/>
      <c r="G1270" s="30"/>
      <c r="I1270" s="30"/>
    </row>
    <row r="1271" spans="1:9">
      <c r="A1271" s="1"/>
      <c r="B1271" s="1"/>
      <c r="C1271" s="34"/>
      <c r="D1271" s="31"/>
      <c r="F1271" s="30"/>
      <c r="G1271" s="30"/>
      <c r="I1271" s="30"/>
    </row>
    <row r="1272" spans="1:9">
      <c r="A1272" s="1"/>
      <c r="B1272" s="1"/>
      <c r="C1272" s="34"/>
      <c r="D1272" s="31"/>
      <c r="F1272" s="30"/>
      <c r="G1272" s="30"/>
      <c r="I1272" s="30"/>
    </row>
    <row r="1273" spans="1:9">
      <c r="A1273" s="1"/>
      <c r="B1273" s="1"/>
      <c r="C1273" s="34"/>
      <c r="D1273" s="31"/>
      <c r="F1273" s="30"/>
      <c r="G1273" s="30"/>
      <c r="I1273" s="30"/>
    </row>
    <row r="1274" spans="1:9">
      <c r="A1274" s="1"/>
      <c r="B1274" s="1"/>
      <c r="C1274" s="34"/>
      <c r="D1274" s="31"/>
      <c r="F1274" s="30"/>
      <c r="G1274" s="30"/>
      <c r="I1274" s="30"/>
    </row>
    <row r="1275" spans="1:9">
      <c r="A1275" s="1"/>
      <c r="B1275" s="1"/>
      <c r="C1275" s="34"/>
      <c r="D1275" s="31"/>
      <c r="F1275" s="30"/>
      <c r="G1275" s="30"/>
      <c r="I1275" s="30"/>
    </row>
    <row r="1276" spans="1:9">
      <c r="A1276" s="1"/>
      <c r="B1276" s="1"/>
      <c r="C1276" s="34"/>
      <c r="D1276" s="31"/>
      <c r="F1276" s="30"/>
      <c r="G1276" s="30"/>
      <c r="I1276" s="30"/>
    </row>
    <row r="1277" spans="1:9">
      <c r="A1277" s="1"/>
      <c r="B1277" s="1"/>
      <c r="C1277" s="34"/>
      <c r="D1277" s="31"/>
      <c r="F1277" s="30"/>
      <c r="G1277" s="30"/>
      <c r="I1277" s="30"/>
    </row>
    <row r="1278" spans="1:9">
      <c r="A1278" s="1"/>
      <c r="B1278" s="1"/>
      <c r="C1278" s="34"/>
      <c r="D1278" s="31"/>
      <c r="F1278" s="30"/>
      <c r="G1278" s="30"/>
      <c r="I1278" s="30"/>
    </row>
    <row r="1279" spans="1:9">
      <c r="A1279" s="1"/>
      <c r="B1279" s="1"/>
      <c r="C1279" s="34"/>
      <c r="D1279" s="31"/>
      <c r="F1279" s="30"/>
      <c r="G1279" s="30"/>
      <c r="I1279" s="30"/>
    </row>
    <row r="1280" spans="1:9">
      <c r="A1280" s="1"/>
      <c r="B1280" s="1"/>
      <c r="C1280" s="34"/>
      <c r="D1280" s="31"/>
      <c r="F1280" s="30"/>
      <c r="G1280" s="30"/>
      <c r="I1280" s="30"/>
    </row>
    <row r="1281" spans="1:9">
      <c r="A1281" s="1"/>
      <c r="B1281" s="1"/>
      <c r="C1281" s="34"/>
      <c r="D1281" s="31"/>
      <c r="F1281" s="30"/>
      <c r="G1281" s="30"/>
      <c r="I1281" s="30"/>
    </row>
    <row r="1282" spans="1:9">
      <c r="A1282" s="1"/>
      <c r="B1282" s="1"/>
      <c r="C1282" s="34"/>
      <c r="D1282" s="31"/>
      <c r="F1282" s="30"/>
      <c r="G1282" s="30"/>
      <c r="I1282" s="30"/>
    </row>
    <row r="1283" spans="1:9">
      <c r="A1283" s="1"/>
      <c r="B1283" s="1"/>
      <c r="C1283" s="34"/>
      <c r="D1283" s="31"/>
      <c r="F1283" s="30"/>
      <c r="G1283" s="30"/>
      <c r="I1283" s="30"/>
    </row>
    <row r="1284" spans="1:9">
      <c r="A1284" s="1"/>
      <c r="B1284" s="1"/>
      <c r="C1284" s="34"/>
      <c r="D1284" s="31"/>
      <c r="F1284" s="30"/>
      <c r="G1284" s="30"/>
      <c r="I1284" s="30"/>
    </row>
    <row r="1285" spans="1:9">
      <c r="A1285" s="1"/>
      <c r="B1285" s="1"/>
      <c r="C1285" s="34"/>
      <c r="D1285" s="31"/>
      <c r="F1285" s="30"/>
      <c r="G1285" s="30"/>
      <c r="I1285" s="30"/>
    </row>
    <row r="1286" spans="1:9">
      <c r="A1286" s="1"/>
      <c r="B1286" s="1"/>
      <c r="C1286" s="34"/>
      <c r="D1286" s="31"/>
      <c r="F1286" s="30"/>
      <c r="G1286" s="30"/>
      <c r="I1286" s="30"/>
    </row>
    <row r="1287" spans="1:9">
      <c r="A1287" s="1"/>
      <c r="B1287" s="1"/>
      <c r="C1287" s="34"/>
      <c r="D1287" s="31"/>
      <c r="F1287" s="30"/>
      <c r="G1287" s="30"/>
      <c r="I1287" s="30"/>
    </row>
    <row r="1288" spans="1:9">
      <c r="A1288" s="1"/>
      <c r="B1288" s="1"/>
      <c r="C1288" s="34"/>
      <c r="D1288" s="31"/>
      <c r="F1288" s="30"/>
      <c r="G1288" s="30"/>
      <c r="I1288" s="30"/>
    </row>
    <row r="1289" spans="1:9">
      <c r="A1289" s="1"/>
      <c r="B1289" s="1"/>
      <c r="C1289" s="34"/>
      <c r="D1289" s="31"/>
      <c r="F1289" s="30"/>
      <c r="G1289" s="30"/>
      <c r="I1289" s="30"/>
    </row>
    <row r="1290" spans="1:9">
      <c r="A1290" s="1"/>
      <c r="B1290" s="1"/>
      <c r="C1290" s="34"/>
      <c r="D1290" s="31"/>
      <c r="F1290" s="30"/>
      <c r="G1290" s="30"/>
      <c r="I1290" s="30"/>
    </row>
    <row r="1291" spans="1:9">
      <c r="A1291" s="1"/>
      <c r="B1291" s="1"/>
      <c r="C1291" s="34"/>
      <c r="D1291" s="31"/>
      <c r="F1291" s="30"/>
      <c r="G1291" s="30"/>
      <c r="I1291" s="30"/>
    </row>
    <row r="1292" spans="1:9">
      <c r="A1292" s="1"/>
      <c r="B1292" s="1"/>
      <c r="C1292" s="34"/>
      <c r="D1292" s="31"/>
      <c r="F1292" s="30"/>
      <c r="G1292" s="30"/>
      <c r="I1292" s="30"/>
    </row>
    <row r="1293" spans="1:9">
      <c r="A1293" s="1"/>
      <c r="B1293" s="1"/>
      <c r="C1293" s="34"/>
      <c r="D1293" s="31"/>
      <c r="F1293" s="30"/>
      <c r="G1293" s="30"/>
      <c r="I1293" s="30"/>
    </row>
    <row r="1294" spans="1:9">
      <c r="A1294" s="1"/>
      <c r="B1294" s="1"/>
      <c r="C1294" s="34"/>
      <c r="D1294" s="31"/>
      <c r="F1294" s="30"/>
      <c r="G1294" s="30"/>
      <c r="I1294" s="30"/>
    </row>
    <row r="1295" spans="1:9">
      <c r="A1295" s="1"/>
      <c r="B1295" s="1"/>
      <c r="C1295" s="34"/>
      <c r="D1295" s="31"/>
      <c r="F1295" s="30"/>
      <c r="G1295" s="30"/>
      <c r="I1295" s="30"/>
    </row>
    <row r="1296" spans="1:9">
      <c r="A1296" s="1"/>
      <c r="B1296" s="1"/>
      <c r="C1296" s="34"/>
      <c r="D1296" s="31"/>
      <c r="F1296" s="30"/>
      <c r="G1296" s="30"/>
      <c r="I1296" s="30"/>
    </row>
    <row r="1297" spans="1:9">
      <c r="A1297" s="1"/>
      <c r="B1297" s="1"/>
      <c r="C1297" s="34"/>
      <c r="D1297" s="31"/>
      <c r="F1297" s="30"/>
      <c r="G1297" s="30"/>
      <c r="I1297" s="30"/>
    </row>
    <row r="1298" spans="1:9">
      <c r="A1298" s="1"/>
      <c r="B1298" s="1"/>
      <c r="C1298" s="34"/>
      <c r="D1298" s="31"/>
      <c r="F1298" s="30"/>
      <c r="G1298" s="30"/>
      <c r="I1298" s="30"/>
    </row>
    <row r="1299" spans="1:9">
      <c r="A1299" s="1"/>
      <c r="B1299" s="1"/>
      <c r="C1299" s="34"/>
      <c r="D1299" s="31"/>
      <c r="F1299" s="30"/>
      <c r="G1299" s="30"/>
      <c r="I1299" s="30"/>
    </row>
    <row r="1300" spans="1:9">
      <c r="A1300" s="1"/>
      <c r="B1300" s="1"/>
      <c r="C1300" s="34"/>
      <c r="D1300" s="31"/>
      <c r="F1300" s="30"/>
      <c r="G1300" s="30"/>
      <c r="I1300" s="30"/>
    </row>
    <row r="1301" spans="1:9">
      <c r="A1301" s="1"/>
      <c r="B1301" s="1"/>
      <c r="C1301" s="34"/>
      <c r="D1301" s="31"/>
      <c r="F1301" s="30"/>
      <c r="G1301" s="30"/>
      <c r="I1301" s="30"/>
    </row>
    <row r="1302" spans="1:9">
      <c r="A1302" s="1"/>
      <c r="B1302" s="1"/>
      <c r="C1302" s="34"/>
      <c r="D1302" s="31"/>
      <c r="F1302" s="30"/>
      <c r="G1302" s="30"/>
      <c r="I1302" s="30"/>
    </row>
    <row r="1303" spans="1:9">
      <c r="A1303" s="1"/>
      <c r="B1303" s="1"/>
      <c r="C1303" s="34"/>
      <c r="D1303" s="31"/>
      <c r="F1303" s="30"/>
      <c r="G1303" s="30"/>
      <c r="I1303" s="30"/>
    </row>
    <row r="1304" spans="1:9">
      <c r="A1304" s="1"/>
      <c r="B1304" s="1"/>
      <c r="C1304" s="34"/>
      <c r="D1304" s="31"/>
      <c r="F1304" s="30"/>
      <c r="G1304" s="30"/>
      <c r="I1304" s="30"/>
    </row>
    <row r="1305" spans="1:9">
      <c r="A1305" s="1"/>
      <c r="B1305" s="1"/>
      <c r="C1305" s="34"/>
      <c r="D1305" s="31"/>
      <c r="F1305" s="30"/>
      <c r="G1305" s="30"/>
      <c r="I1305" s="30"/>
    </row>
    <row r="1306" spans="1:9">
      <c r="A1306" s="1"/>
      <c r="B1306" s="1"/>
      <c r="C1306" s="34"/>
      <c r="D1306" s="31"/>
      <c r="F1306" s="30"/>
      <c r="G1306" s="30"/>
      <c r="I1306" s="30"/>
    </row>
    <row r="1307" spans="1:9">
      <c r="A1307" s="1"/>
      <c r="B1307" s="1"/>
      <c r="C1307" s="34"/>
      <c r="D1307" s="31"/>
      <c r="F1307" s="30"/>
      <c r="G1307" s="30"/>
      <c r="I1307" s="30"/>
    </row>
    <row r="1308" spans="1:9">
      <c r="A1308" s="1"/>
      <c r="B1308" s="1"/>
      <c r="C1308" s="34"/>
      <c r="D1308" s="31"/>
      <c r="F1308" s="30"/>
      <c r="G1308" s="30"/>
      <c r="I1308" s="30"/>
    </row>
    <row r="1309" spans="1:9">
      <c r="A1309" s="1"/>
      <c r="B1309" s="1"/>
      <c r="C1309" s="34"/>
      <c r="D1309" s="31"/>
      <c r="F1309" s="30"/>
      <c r="G1309" s="30"/>
      <c r="I1309" s="30"/>
    </row>
    <row r="1310" spans="1:9">
      <c r="A1310" s="1"/>
      <c r="B1310" s="1"/>
      <c r="C1310" s="34"/>
      <c r="D1310" s="31"/>
      <c r="F1310" s="30"/>
      <c r="G1310" s="30"/>
      <c r="I1310" s="30"/>
    </row>
    <row r="1311" spans="1:9">
      <c r="A1311" s="1"/>
      <c r="B1311" s="1"/>
      <c r="C1311" s="34"/>
      <c r="D1311" s="31"/>
      <c r="F1311" s="30"/>
      <c r="G1311" s="30"/>
      <c r="I1311" s="30"/>
    </row>
    <row r="1312" spans="1:9">
      <c r="A1312" s="1"/>
      <c r="B1312" s="1"/>
      <c r="C1312" s="34"/>
      <c r="D1312" s="31"/>
      <c r="F1312" s="30"/>
      <c r="G1312" s="30"/>
      <c r="I1312" s="30"/>
    </row>
    <row r="1313" spans="1:9">
      <c r="A1313" s="1"/>
      <c r="B1313" s="1"/>
      <c r="C1313" s="34"/>
      <c r="D1313" s="31"/>
      <c r="F1313" s="30"/>
      <c r="G1313" s="30"/>
      <c r="I1313" s="30"/>
    </row>
    <row r="1314" spans="1:9">
      <c r="A1314" s="1"/>
      <c r="B1314" s="1"/>
      <c r="C1314" s="34"/>
      <c r="D1314" s="31"/>
      <c r="F1314" s="30"/>
      <c r="G1314" s="30"/>
      <c r="I1314" s="30"/>
    </row>
    <row r="1315" spans="1:9">
      <c r="A1315" s="1"/>
      <c r="B1315" s="1"/>
      <c r="C1315" s="34"/>
      <c r="D1315" s="31"/>
      <c r="F1315" s="30"/>
      <c r="G1315" s="30"/>
      <c r="I1315" s="30"/>
    </row>
    <row r="1316" spans="1:9">
      <c r="A1316" s="1"/>
      <c r="B1316" s="1"/>
      <c r="C1316" s="34"/>
      <c r="D1316" s="31"/>
      <c r="F1316" s="30"/>
      <c r="G1316" s="30"/>
      <c r="I1316" s="30"/>
    </row>
    <row r="1317" spans="1:9">
      <c r="A1317" s="1"/>
      <c r="B1317" s="1"/>
      <c r="C1317" s="34"/>
      <c r="D1317" s="31"/>
      <c r="F1317" s="30"/>
      <c r="G1317" s="30"/>
      <c r="I1317" s="30"/>
    </row>
    <row r="1318" spans="1:9">
      <c r="A1318" s="1"/>
      <c r="B1318" s="1"/>
      <c r="C1318" s="34"/>
      <c r="D1318" s="31"/>
      <c r="F1318" s="30"/>
      <c r="G1318" s="30"/>
      <c r="I1318" s="30"/>
    </row>
    <row r="1319" spans="1:9">
      <c r="A1319" s="1"/>
      <c r="B1319" s="1"/>
      <c r="C1319" s="34"/>
      <c r="D1319" s="31"/>
      <c r="F1319" s="30"/>
      <c r="G1319" s="30"/>
      <c r="I1319" s="30"/>
    </row>
    <row r="1320" spans="1:9">
      <c r="A1320" s="1"/>
      <c r="B1320" s="1"/>
      <c r="C1320" s="34"/>
      <c r="D1320" s="31"/>
      <c r="F1320" s="30"/>
      <c r="G1320" s="30"/>
      <c r="I1320" s="30"/>
    </row>
    <row r="1321" spans="1:9">
      <c r="A1321" s="1"/>
      <c r="B1321" s="1"/>
      <c r="C1321" s="34"/>
      <c r="D1321" s="31"/>
      <c r="F1321" s="30"/>
      <c r="G1321" s="30"/>
      <c r="I1321" s="30"/>
    </row>
    <row r="1322" spans="1:9">
      <c r="A1322" s="1"/>
      <c r="B1322" s="1"/>
      <c r="C1322" s="34"/>
      <c r="D1322" s="31"/>
      <c r="F1322" s="30"/>
      <c r="G1322" s="30"/>
      <c r="I1322" s="30"/>
    </row>
    <row r="1323" spans="1:9">
      <c r="A1323" s="1"/>
      <c r="B1323" s="1"/>
      <c r="C1323" s="34"/>
      <c r="D1323" s="31"/>
      <c r="F1323" s="30"/>
      <c r="G1323" s="30"/>
      <c r="I1323" s="30"/>
    </row>
    <row r="1324" spans="1:9">
      <c r="A1324" s="1"/>
      <c r="B1324" s="1"/>
      <c r="C1324" s="34"/>
      <c r="D1324" s="31"/>
      <c r="F1324" s="30"/>
      <c r="G1324" s="30"/>
      <c r="I1324" s="30"/>
    </row>
    <row r="1325" spans="1:9">
      <c r="A1325" s="1"/>
      <c r="B1325" s="1"/>
      <c r="C1325" s="34"/>
      <c r="D1325" s="31"/>
      <c r="F1325" s="30"/>
      <c r="G1325" s="30"/>
      <c r="I1325" s="30"/>
    </row>
    <row r="1326" spans="1:9">
      <c r="A1326" s="1"/>
      <c r="B1326" s="1"/>
      <c r="C1326" s="34"/>
      <c r="D1326" s="31"/>
      <c r="F1326" s="30"/>
      <c r="G1326" s="30"/>
      <c r="I1326" s="30"/>
    </row>
    <row r="1327" spans="1:9">
      <c r="A1327" s="1"/>
      <c r="B1327" s="1"/>
      <c r="C1327" s="34"/>
      <c r="D1327" s="31"/>
      <c r="F1327" s="30"/>
      <c r="G1327" s="30"/>
      <c r="I1327" s="30"/>
    </row>
    <row r="1328" spans="1:9">
      <c r="A1328" s="1"/>
      <c r="B1328" s="1"/>
      <c r="C1328" s="34"/>
      <c r="D1328" s="31"/>
      <c r="F1328" s="30"/>
      <c r="G1328" s="30"/>
      <c r="I1328" s="30"/>
    </row>
    <row r="1329" spans="1:9">
      <c r="A1329" s="1"/>
      <c r="B1329" s="1"/>
      <c r="C1329" s="34"/>
      <c r="D1329" s="31"/>
      <c r="F1329" s="30"/>
      <c r="G1329" s="30"/>
      <c r="I1329" s="30"/>
    </row>
    <row r="1330" spans="1:9">
      <c r="A1330" s="1"/>
      <c r="B1330" s="1"/>
      <c r="C1330" s="34"/>
      <c r="D1330" s="31"/>
      <c r="F1330" s="30"/>
      <c r="G1330" s="30"/>
      <c r="I1330" s="30"/>
    </row>
    <row r="1331" spans="1:9">
      <c r="A1331" s="1"/>
      <c r="B1331" s="1"/>
      <c r="C1331" s="34"/>
      <c r="D1331" s="31"/>
      <c r="F1331" s="30"/>
      <c r="G1331" s="30"/>
      <c r="I1331" s="30"/>
    </row>
    <row r="1332" spans="1:9">
      <c r="A1332" s="1"/>
      <c r="B1332" s="1"/>
      <c r="C1332" s="34"/>
      <c r="D1332" s="31"/>
      <c r="F1332" s="30"/>
      <c r="G1332" s="30"/>
      <c r="I1332" s="30"/>
    </row>
    <row r="1333" spans="1:9">
      <c r="A1333" s="1"/>
      <c r="B1333" s="1"/>
      <c r="C1333" s="34"/>
      <c r="D1333" s="31"/>
      <c r="F1333" s="30"/>
      <c r="G1333" s="30"/>
      <c r="I1333" s="30"/>
    </row>
    <row r="1334" spans="1:9">
      <c r="A1334" s="1"/>
      <c r="B1334" s="1"/>
      <c r="C1334" s="34"/>
      <c r="D1334" s="31"/>
      <c r="F1334" s="30"/>
      <c r="G1334" s="30"/>
      <c r="I1334" s="30"/>
    </row>
    <row r="1335" spans="1:9">
      <c r="A1335" s="1"/>
      <c r="B1335" s="1"/>
      <c r="C1335" s="34"/>
      <c r="D1335" s="31"/>
      <c r="F1335" s="30"/>
      <c r="G1335" s="30"/>
      <c r="I1335" s="30"/>
    </row>
    <row r="1336" spans="1:9">
      <c r="A1336" s="1"/>
      <c r="B1336" s="1"/>
      <c r="C1336" s="34"/>
      <c r="D1336" s="31"/>
      <c r="F1336" s="30"/>
      <c r="G1336" s="30"/>
      <c r="I1336" s="30"/>
    </row>
    <row r="1337" spans="1:9">
      <c r="A1337" s="1"/>
      <c r="B1337" s="1"/>
      <c r="C1337" s="34"/>
      <c r="D1337" s="31"/>
      <c r="F1337" s="30"/>
      <c r="G1337" s="30"/>
      <c r="I1337" s="30"/>
    </row>
    <row r="1338" spans="1:9">
      <c r="A1338" s="1"/>
      <c r="B1338" s="1"/>
      <c r="C1338" s="34"/>
      <c r="D1338" s="31"/>
      <c r="F1338" s="30"/>
      <c r="G1338" s="30"/>
      <c r="I1338" s="30"/>
    </row>
    <row r="1339" spans="1:9">
      <c r="A1339" s="1"/>
      <c r="B1339" s="1"/>
      <c r="C1339" s="34"/>
      <c r="D1339" s="31"/>
      <c r="F1339" s="30"/>
      <c r="G1339" s="30"/>
      <c r="I1339" s="30"/>
    </row>
    <row r="1340" spans="1:9">
      <c r="A1340" s="1"/>
      <c r="B1340" s="1"/>
      <c r="C1340" s="34"/>
      <c r="D1340" s="31"/>
      <c r="F1340" s="30"/>
      <c r="G1340" s="30"/>
      <c r="I1340" s="30"/>
    </row>
    <row r="1341" spans="1:9">
      <c r="A1341" s="1"/>
      <c r="B1341" s="1"/>
      <c r="C1341" s="34"/>
      <c r="D1341" s="31"/>
      <c r="F1341" s="30"/>
      <c r="G1341" s="30"/>
      <c r="I1341" s="30"/>
    </row>
    <row r="1342" spans="1:9">
      <c r="A1342" s="1"/>
      <c r="B1342" s="1"/>
      <c r="C1342" s="34"/>
      <c r="D1342" s="31"/>
      <c r="F1342" s="30"/>
      <c r="G1342" s="30"/>
      <c r="I1342" s="30"/>
    </row>
    <row r="1343" spans="1:9">
      <c r="A1343" s="1"/>
      <c r="B1343" s="1"/>
      <c r="C1343" s="34"/>
      <c r="D1343" s="31"/>
      <c r="F1343" s="30"/>
      <c r="G1343" s="30"/>
      <c r="I1343" s="30"/>
    </row>
    <row r="1344" spans="1:9">
      <c r="A1344" s="1"/>
      <c r="B1344" s="1"/>
      <c r="C1344" s="34"/>
      <c r="D1344" s="31"/>
      <c r="F1344" s="30"/>
      <c r="G1344" s="30"/>
      <c r="I1344" s="30"/>
    </row>
    <row r="1345" spans="1:9">
      <c r="A1345" s="1"/>
      <c r="B1345" s="1"/>
      <c r="C1345" s="34"/>
      <c r="D1345" s="31"/>
      <c r="F1345" s="30"/>
      <c r="G1345" s="30"/>
      <c r="I1345" s="30"/>
    </row>
    <row r="1346" spans="1:9">
      <c r="A1346" s="1"/>
      <c r="B1346" s="1"/>
      <c r="C1346" s="34"/>
      <c r="D1346" s="31"/>
      <c r="F1346" s="30"/>
      <c r="G1346" s="30"/>
      <c r="I1346" s="30"/>
    </row>
    <row r="1347" spans="1:9">
      <c r="A1347" s="1"/>
      <c r="B1347" s="1"/>
      <c r="C1347" s="34"/>
      <c r="D1347" s="31"/>
      <c r="F1347" s="30"/>
      <c r="G1347" s="30"/>
      <c r="I1347" s="30"/>
    </row>
    <row r="1348" spans="1:9">
      <c r="A1348" s="1"/>
      <c r="B1348" s="1"/>
      <c r="C1348" s="34"/>
      <c r="D1348" s="31"/>
      <c r="F1348" s="30"/>
      <c r="G1348" s="30"/>
      <c r="I1348" s="30"/>
    </row>
    <row r="1349" spans="1:9">
      <c r="A1349" s="1"/>
      <c r="B1349" s="1"/>
      <c r="C1349" s="34"/>
      <c r="D1349" s="31"/>
      <c r="F1349" s="30"/>
      <c r="G1349" s="30"/>
      <c r="I1349" s="30"/>
    </row>
    <row r="1350" spans="1:9">
      <c r="A1350" s="1"/>
      <c r="B1350" s="1"/>
      <c r="C1350" s="34"/>
      <c r="D1350" s="31"/>
      <c r="F1350" s="30"/>
      <c r="G1350" s="30"/>
      <c r="I1350" s="30"/>
    </row>
    <row r="1351" spans="1:9">
      <c r="A1351" s="1"/>
      <c r="B1351" s="1"/>
      <c r="C1351" s="34"/>
      <c r="D1351" s="31"/>
      <c r="F1351" s="30"/>
      <c r="G1351" s="30"/>
      <c r="I1351" s="30"/>
    </row>
    <row r="1352" spans="1:9">
      <c r="A1352" s="1"/>
      <c r="B1352" s="1"/>
      <c r="C1352" s="34"/>
      <c r="D1352" s="31"/>
      <c r="F1352" s="30"/>
      <c r="G1352" s="30"/>
      <c r="I1352" s="30"/>
    </row>
    <row r="1353" spans="1:9">
      <c r="A1353" s="1"/>
      <c r="B1353" s="1"/>
      <c r="C1353" s="34"/>
      <c r="D1353" s="31"/>
      <c r="F1353" s="30"/>
      <c r="G1353" s="30"/>
      <c r="I1353" s="30"/>
    </row>
    <row r="1354" spans="1:9">
      <c r="A1354" s="1"/>
      <c r="B1354" s="1"/>
      <c r="C1354" s="34"/>
      <c r="D1354" s="31"/>
      <c r="F1354" s="30"/>
      <c r="G1354" s="30"/>
      <c r="I1354" s="30"/>
    </row>
    <row r="1355" spans="1:9">
      <c r="A1355" s="1"/>
      <c r="B1355" s="1"/>
      <c r="C1355" s="34"/>
      <c r="D1355" s="31"/>
      <c r="F1355" s="30"/>
      <c r="G1355" s="30"/>
      <c r="I1355" s="30"/>
    </row>
    <row r="1356" spans="1:9">
      <c r="A1356" s="1"/>
      <c r="B1356" s="1"/>
      <c r="C1356" s="34"/>
      <c r="D1356" s="31"/>
      <c r="F1356" s="30"/>
      <c r="G1356" s="30"/>
      <c r="I1356" s="30"/>
    </row>
    <row r="1357" spans="1:9">
      <c r="A1357" s="1"/>
      <c r="B1357" s="1"/>
      <c r="C1357" s="34"/>
      <c r="D1357" s="31"/>
      <c r="F1357" s="30"/>
      <c r="G1357" s="30"/>
      <c r="I1357" s="30"/>
    </row>
    <row r="1358" spans="1:9">
      <c r="A1358" s="1"/>
      <c r="B1358" s="1"/>
      <c r="C1358" s="34"/>
      <c r="D1358" s="31"/>
      <c r="F1358" s="30"/>
      <c r="G1358" s="30"/>
      <c r="I1358" s="30"/>
    </row>
    <row r="1359" spans="1:9">
      <c r="A1359" s="1"/>
      <c r="B1359" s="1"/>
      <c r="C1359" s="34"/>
      <c r="D1359" s="31"/>
      <c r="F1359" s="30"/>
      <c r="G1359" s="30"/>
      <c r="I1359" s="30"/>
    </row>
    <row r="1360" spans="1:9">
      <c r="A1360" s="1"/>
      <c r="B1360" s="1"/>
      <c r="C1360" s="34"/>
      <c r="D1360" s="31"/>
      <c r="F1360" s="30"/>
      <c r="G1360" s="30"/>
      <c r="I1360" s="30"/>
    </row>
    <row r="1361" spans="1:7">
      <c r="A1361" s="1"/>
      <c r="B1361" s="1"/>
      <c r="C1361" s="34"/>
      <c r="D1361" s="31"/>
      <c r="F1361" s="30"/>
      <c r="G1361" s="30"/>
    </row>
    <row r="1362" spans="1:7">
      <c r="A1362" s="1"/>
      <c r="B1362" s="1"/>
      <c r="C1362" s="34"/>
      <c r="D1362" s="31"/>
    </row>
    <row r="1363" spans="1:7">
      <c r="A1363" s="1"/>
      <c r="B1363" s="1"/>
      <c r="C1363" s="34"/>
      <c r="D1363" s="31"/>
    </row>
    <row r="1364" spans="1:7">
      <c r="A1364" s="1"/>
      <c r="B1364" s="1"/>
      <c r="C1364" s="34"/>
      <c r="D1364" s="31"/>
    </row>
    <row r="1365" spans="1:7">
      <c r="A1365" s="1"/>
      <c r="B1365" s="1"/>
      <c r="C1365" s="34"/>
      <c r="D1365" s="31"/>
    </row>
    <row r="1366" spans="1:7">
      <c r="A1366" s="1"/>
      <c r="B1366" s="1"/>
      <c r="C1366" s="34"/>
      <c r="D1366" s="31"/>
    </row>
    <row r="1367" spans="1:7">
      <c r="A1367" s="1"/>
      <c r="B1367" s="1"/>
      <c r="C1367" s="34"/>
      <c r="D1367" s="31"/>
    </row>
    <row r="1368" spans="1:7">
      <c r="A1368" s="1"/>
      <c r="B1368" s="1"/>
      <c r="C1368" s="34"/>
      <c r="D1368" s="31"/>
    </row>
    <row r="1369" spans="1:7">
      <c r="A1369" s="1"/>
      <c r="B1369" s="1"/>
      <c r="C1369" s="34"/>
      <c r="D1369" s="31"/>
    </row>
    <row r="1370" spans="1:7">
      <c r="A1370" s="1"/>
      <c r="B1370" s="1"/>
      <c r="C1370" s="34"/>
      <c r="D1370" s="31"/>
    </row>
    <row r="1371" spans="1:7">
      <c r="A1371" s="1"/>
      <c r="B1371" s="1"/>
      <c r="C1371" s="34"/>
      <c r="D1371" s="31"/>
    </row>
    <row r="1372" spans="1:7">
      <c r="A1372" s="1"/>
      <c r="B1372" s="1"/>
      <c r="C1372" s="34"/>
      <c r="D1372" s="31"/>
    </row>
    <row r="1373" spans="1:7">
      <c r="A1373" s="1"/>
      <c r="B1373" s="1"/>
      <c r="C1373" s="34"/>
      <c r="D1373" s="31"/>
    </row>
    <row r="1374" spans="1:7">
      <c r="A1374" s="1"/>
      <c r="B1374" s="1"/>
      <c r="C1374" s="34"/>
      <c r="D1374" s="31"/>
    </row>
    <row r="1375" spans="1:7">
      <c r="A1375" s="1"/>
      <c r="B1375" s="1"/>
      <c r="C1375" s="34"/>
      <c r="D1375" s="31"/>
    </row>
    <row r="1376" spans="1:7">
      <c r="A1376" s="1"/>
      <c r="B1376" s="1"/>
      <c r="C1376" s="34"/>
      <c r="D1376" s="31"/>
    </row>
    <row r="1377" spans="1:4">
      <c r="A1377" s="1"/>
      <c r="B1377" s="1"/>
      <c r="C1377" s="34"/>
      <c r="D1377" s="31"/>
    </row>
    <row r="1378" spans="1:4">
      <c r="A1378" s="1"/>
      <c r="B1378" s="1"/>
      <c r="C1378" s="34"/>
      <c r="D1378" s="31"/>
    </row>
    <row r="1379" spans="1:4">
      <c r="A1379" s="1"/>
      <c r="B1379" s="1"/>
      <c r="C1379" s="34"/>
      <c r="D1379" s="31"/>
    </row>
    <row r="1380" spans="1:4">
      <c r="A1380" s="1"/>
      <c r="B1380" s="1"/>
      <c r="C1380" s="34"/>
      <c r="D1380" s="31"/>
    </row>
    <row r="1381" spans="1:4">
      <c r="A1381" s="1"/>
      <c r="B1381" s="1"/>
      <c r="C1381" s="34"/>
      <c r="D1381" s="31"/>
    </row>
    <row r="1382" spans="1:4">
      <c r="A1382" s="1"/>
      <c r="B1382" s="1"/>
      <c r="C1382" s="34"/>
      <c r="D1382" s="31"/>
    </row>
    <row r="1383" spans="1:4">
      <c r="A1383" s="1"/>
      <c r="B1383" s="1"/>
      <c r="C1383" s="34"/>
      <c r="D1383" s="31"/>
    </row>
    <row r="1384" spans="1:4">
      <c r="A1384" s="1"/>
      <c r="B1384" s="1"/>
      <c r="C1384" s="34"/>
      <c r="D1384" s="31"/>
    </row>
    <row r="1385" spans="1:4">
      <c r="A1385" s="1"/>
      <c r="B1385" s="1"/>
      <c r="C1385" s="34"/>
      <c r="D1385" s="31"/>
    </row>
    <row r="1386" spans="1:4">
      <c r="A1386" s="1"/>
      <c r="B1386" s="1"/>
      <c r="C1386" s="34"/>
      <c r="D1386" s="31"/>
    </row>
    <row r="1387" spans="1:4">
      <c r="A1387" s="1"/>
      <c r="B1387" s="1"/>
      <c r="C1387" s="34"/>
      <c r="D1387" s="31"/>
    </row>
    <row r="1388" spans="1:4">
      <c r="A1388" s="1"/>
      <c r="B1388" s="1"/>
      <c r="C1388" s="34"/>
      <c r="D1388" s="31"/>
    </row>
    <row r="1389" spans="1:4">
      <c r="A1389" s="1"/>
      <c r="B1389" s="1"/>
      <c r="C1389" s="34"/>
      <c r="D1389" s="31"/>
    </row>
    <row r="1390" spans="1:4">
      <c r="A1390" s="1"/>
      <c r="B1390" s="1"/>
      <c r="C1390" s="34"/>
      <c r="D1390" s="31"/>
    </row>
    <row r="1391" spans="1:4">
      <c r="A1391" s="1"/>
      <c r="B1391" s="1"/>
      <c r="C1391" s="34"/>
      <c r="D1391" s="31"/>
    </row>
    <row r="1392" spans="1:4">
      <c r="A1392" s="1"/>
      <c r="B1392" s="1"/>
      <c r="C1392" s="34"/>
      <c r="D1392" s="31"/>
    </row>
    <row r="1393" spans="1:4">
      <c r="A1393" s="1"/>
      <c r="B1393" s="1"/>
      <c r="C1393" s="34"/>
      <c r="D1393" s="31"/>
    </row>
    <row r="1394" spans="1:4">
      <c r="A1394" s="1"/>
      <c r="B1394" s="1"/>
      <c r="C1394" s="34"/>
      <c r="D1394" s="31"/>
    </row>
    <row r="1395" spans="1:4">
      <c r="A1395" s="1"/>
      <c r="B1395" s="1"/>
      <c r="C1395" s="34"/>
      <c r="D1395" s="31"/>
    </row>
    <row r="1396" spans="1:4">
      <c r="A1396" s="1"/>
      <c r="B1396" s="1"/>
      <c r="C1396" s="34"/>
      <c r="D1396" s="31"/>
    </row>
    <row r="1397" spans="1:4">
      <c r="A1397" s="1"/>
      <c r="B1397" s="1"/>
      <c r="C1397" s="34"/>
      <c r="D1397" s="31"/>
    </row>
    <row r="1398" spans="1:4">
      <c r="A1398" s="1"/>
      <c r="B1398" s="1"/>
      <c r="C1398" s="34"/>
      <c r="D1398" s="31"/>
    </row>
    <row r="1399" spans="1:4">
      <c r="A1399" s="1"/>
      <c r="B1399" s="1"/>
      <c r="C1399" s="34"/>
      <c r="D1399" s="31"/>
    </row>
    <row r="1400" spans="1:4">
      <c r="A1400" s="1"/>
      <c r="B1400" s="1"/>
      <c r="C1400" s="34"/>
      <c r="D1400" s="31"/>
    </row>
    <row r="1401" spans="1:4">
      <c r="A1401" s="1"/>
      <c r="B1401" s="1"/>
      <c r="C1401" s="34"/>
      <c r="D1401" s="31"/>
    </row>
    <row r="1402" spans="1:4">
      <c r="A1402" s="1"/>
      <c r="B1402" s="1"/>
      <c r="C1402" s="34"/>
      <c r="D1402" s="31"/>
    </row>
    <row r="1403" spans="1:4">
      <c r="A1403" s="1"/>
      <c r="B1403" s="1"/>
      <c r="C1403" s="34"/>
      <c r="D1403" s="31"/>
    </row>
    <row r="1404" spans="1:4">
      <c r="A1404" s="1"/>
      <c r="B1404" s="1"/>
      <c r="C1404" s="34"/>
      <c r="D1404" s="31"/>
    </row>
    <row r="1405" spans="1:4">
      <c r="A1405" s="1"/>
      <c r="B1405" s="1"/>
      <c r="C1405" s="34"/>
      <c r="D1405" s="31"/>
    </row>
    <row r="1406" spans="1:4">
      <c r="A1406" s="1"/>
      <c r="B1406" s="1"/>
      <c r="C1406" s="34"/>
      <c r="D1406" s="31"/>
    </row>
    <row r="1407" spans="1:4">
      <c r="A1407" s="1"/>
      <c r="B1407" s="1"/>
      <c r="C1407" s="34"/>
      <c r="D1407" s="31"/>
    </row>
    <row r="1408" spans="1:4">
      <c r="A1408" s="1"/>
      <c r="B1408" s="1"/>
      <c r="C1408" s="34"/>
      <c r="D1408" s="31"/>
    </row>
    <row r="1409" spans="1:4">
      <c r="A1409" s="1"/>
      <c r="B1409" s="1"/>
      <c r="C1409" s="34"/>
      <c r="D1409" s="31"/>
    </row>
    <row r="1410" spans="1:4">
      <c r="A1410" s="1"/>
      <c r="B1410" s="1"/>
      <c r="C1410" s="34"/>
      <c r="D1410" s="31"/>
    </row>
    <row r="1411" spans="1:4">
      <c r="A1411" s="1"/>
      <c r="B1411" s="1"/>
      <c r="C1411" s="34"/>
      <c r="D1411" s="31"/>
    </row>
    <row r="1412" spans="1:4">
      <c r="A1412" s="1"/>
      <c r="B1412" s="1"/>
      <c r="C1412" s="34"/>
      <c r="D1412" s="31"/>
    </row>
    <row r="1413" spans="1:4">
      <c r="A1413" s="1"/>
      <c r="B1413" s="1"/>
      <c r="C1413" s="34"/>
      <c r="D1413" s="31"/>
    </row>
    <row r="1414" spans="1:4">
      <c r="A1414" s="1"/>
      <c r="B1414" s="1"/>
      <c r="C1414" s="34"/>
      <c r="D1414" s="31"/>
    </row>
    <row r="1415" spans="1:4">
      <c r="A1415" s="1"/>
      <c r="B1415" s="1"/>
      <c r="C1415" s="34"/>
      <c r="D1415" s="31"/>
    </row>
    <row r="1416" spans="1:4">
      <c r="A1416" s="1"/>
      <c r="B1416" s="1"/>
      <c r="C1416" s="34"/>
      <c r="D1416" s="31"/>
    </row>
    <row r="1417" spans="1:4">
      <c r="A1417" s="1"/>
      <c r="B1417" s="1"/>
      <c r="C1417" s="34"/>
      <c r="D1417" s="31"/>
    </row>
    <row r="1418" spans="1:4">
      <c r="A1418" s="1"/>
      <c r="B1418" s="1"/>
      <c r="C1418" s="34"/>
      <c r="D1418" s="31"/>
    </row>
    <row r="1419" spans="1:4">
      <c r="A1419" s="1"/>
      <c r="B1419" s="1"/>
      <c r="C1419" s="34"/>
      <c r="D1419" s="31"/>
    </row>
    <row r="1420" spans="1:4">
      <c r="A1420" s="1"/>
      <c r="B1420" s="1"/>
      <c r="C1420" s="34"/>
      <c r="D1420" s="31"/>
    </row>
    <row r="1421" spans="1:4">
      <c r="A1421" s="1"/>
      <c r="B1421" s="1"/>
      <c r="C1421" s="34"/>
      <c r="D1421" s="31"/>
    </row>
    <row r="1422" spans="1:4">
      <c r="A1422" s="1"/>
      <c r="B1422" s="1"/>
      <c r="C1422" s="34"/>
      <c r="D1422" s="31"/>
    </row>
    <row r="1423" spans="1:4">
      <c r="A1423" s="1"/>
      <c r="B1423" s="1"/>
      <c r="C1423" s="34"/>
      <c r="D1423" s="31"/>
    </row>
    <row r="1424" spans="1:4">
      <c r="A1424" s="1"/>
      <c r="B1424" s="1"/>
      <c r="C1424" s="34"/>
      <c r="D1424" s="31"/>
    </row>
    <row r="1425" spans="1:4">
      <c r="A1425" s="1"/>
      <c r="B1425" s="1"/>
      <c r="C1425" s="34"/>
      <c r="D1425" s="31"/>
    </row>
    <row r="1426" spans="1:4">
      <c r="A1426" s="1"/>
      <c r="B1426" s="1"/>
      <c r="C1426" s="34"/>
      <c r="D1426" s="31"/>
    </row>
    <row r="1427" spans="1:4">
      <c r="A1427" s="1"/>
      <c r="B1427" s="1"/>
      <c r="C1427" s="34"/>
      <c r="D1427" s="31"/>
    </row>
    <row r="1428" spans="1:4">
      <c r="A1428" s="1"/>
      <c r="B1428" s="1"/>
      <c r="C1428" s="34"/>
      <c r="D1428" s="31"/>
    </row>
    <row r="1429" spans="1:4">
      <c r="A1429" s="1"/>
      <c r="B1429" s="1"/>
      <c r="C1429" s="34"/>
      <c r="D1429" s="31"/>
    </row>
    <row r="1430" spans="1:4">
      <c r="A1430" s="1"/>
      <c r="B1430" s="1"/>
      <c r="C1430" s="34"/>
      <c r="D1430" s="31"/>
    </row>
    <row r="1431" spans="1:4">
      <c r="A1431" s="1"/>
      <c r="B1431" s="1"/>
      <c r="C1431" s="34"/>
      <c r="D1431" s="31"/>
    </row>
    <row r="1432" spans="1:4">
      <c r="A1432" s="1"/>
      <c r="B1432" s="1"/>
      <c r="C1432" s="34"/>
      <c r="D1432" s="31"/>
    </row>
    <row r="1433" spans="1:4">
      <c r="A1433" s="1"/>
      <c r="B1433" s="1"/>
      <c r="C1433" s="34"/>
      <c r="D1433" s="31"/>
    </row>
    <row r="1434" spans="1:4">
      <c r="A1434" s="1"/>
      <c r="B1434" s="1"/>
      <c r="C1434" s="34"/>
      <c r="D1434" s="31"/>
    </row>
    <row r="1435" spans="1:4">
      <c r="A1435" s="1"/>
      <c r="B1435" s="1"/>
      <c r="C1435" s="34"/>
      <c r="D1435" s="31"/>
    </row>
    <row r="1436" spans="1:4">
      <c r="A1436" s="1"/>
      <c r="B1436" s="1"/>
      <c r="C1436" s="34"/>
      <c r="D1436" s="31"/>
    </row>
    <row r="1437" spans="1:4">
      <c r="A1437" s="1"/>
      <c r="B1437" s="1"/>
      <c r="C1437" s="34"/>
      <c r="D1437" s="31"/>
    </row>
    <row r="1438" spans="1:4">
      <c r="A1438" s="1"/>
      <c r="B1438" s="1"/>
      <c r="C1438" s="34"/>
      <c r="D1438" s="31"/>
    </row>
    <row r="1439" spans="1:4">
      <c r="A1439" s="1"/>
      <c r="B1439" s="1"/>
      <c r="C1439" s="34"/>
      <c r="D1439" s="31"/>
    </row>
    <row r="1440" spans="1:4">
      <c r="A1440" s="1"/>
      <c r="B1440" s="1"/>
      <c r="C1440" s="34"/>
      <c r="D1440" s="31"/>
    </row>
    <row r="1441" spans="1:4">
      <c r="A1441" s="1"/>
      <c r="B1441" s="1"/>
      <c r="C1441" s="34"/>
      <c r="D1441" s="31"/>
    </row>
    <row r="1442" spans="1:4">
      <c r="A1442" s="1"/>
      <c r="B1442" s="1"/>
      <c r="C1442" s="34"/>
      <c r="D1442" s="31"/>
    </row>
    <row r="1443" spans="1:4">
      <c r="A1443" s="1"/>
      <c r="B1443" s="1"/>
      <c r="C1443" s="34"/>
      <c r="D1443" s="31"/>
    </row>
    <row r="1444" spans="1:4">
      <c r="A1444" s="1"/>
      <c r="B1444" s="1"/>
      <c r="C1444" s="34"/>
      <c r="D1444" s="31"/>
    </row>
    <row r="1445" spans="1:4">
      <c r="A1445" s="1"/>
      <c r="B1445" s="1"/>
      <c r="C1445" s="34"/>
      <c r="D1445" s="31"/>
    </row>
    <row r="1446" spans="1:4">
      <c r="A1446" s="1"/>
      <c r="B1446" s="1"/>
      <c r="C1446" s="34"/>
      <c r="D1446" s="31"/>
    </row>
    <row r="1447" spans="1:4">
      <c r="A1447" s="1"/>
      <c r="B1447" s="1"/>
      <c r="C1447" s="34"/>
      <c r="D1447" s="31"/>
    </row>
    <row r="1448" spans="1:4">
      <c r="A1448" s="1"/>
      <c r="B1448" s="1"/>
      <c r="C1448" s="34"/>
      <c r="D1448" s="31"/>
    </row>
    <row r="1449" spans="1:4">
      <c r="A1449" s="1"/>
      <c r="B1449" s="1"/>
      <c r="C1449" s="34"/>
      <c r="D1449" s="31"/>
    </row>
    <row r="1450" spans="1:4">
      <c r="A1450" s="1"/>
      <c r="B1450" s="1"/>
      <c r="C1450" s="34"/>
      <c r="D1450" s="31"/>
    </row>
    <row r="1451" spans="1:4">
      <c r="A1451" s="1"/>
      <c r="B1451" s="1"/>
      <c r="C1451" s="34"/>
      <c r="D1451" s="31"/>
    </row>
    <row r="1452" spans="1:4">
      <c r="A1452" s="1"/>
      <c r="B1452" s="1"/>
      <c r="C1452" s="34"/>
      <c r="D1452" s="31"/>
    </row>
    <row r="1453" spans="1:4">
      <c r="A1453" s="1"/>
      <c r="B1453" s="1"/>
      <c r="C1453" s="34"/>
      <c r="D1453" s="31"/>
    </row>
    <row r="1454" spans="1:4">
      <c r="A1454" s="1"/>
      <c r="B1454" s="1"/>
      <c r="C1454" s="34"/>
      <c r="D1454" s="31"/>
    </row>
    <row r="1455" spans="1:4">
      <c r="A1455" s="1"/>
      <c r="B1455" s="1"/>
      <c r="C1455" s="34"/>
      <c r="D1455" s="31"/>
    </row>
    <row r="1456" spans="1:4">
      <c r="A1456" s="1"/>
      <c r="B1456" s="1"/>
      <c r="C1456" s="34"/>
      <c r="D1456" s="31"/>
    </row>
    <row r="1457" spans="1:4">
      <c r="A1457" s="1"/>
      <c r="B1457" s="1"/>
      <c r="C1457" s="34"/>
      <c r="D1457" s="31"/>
    </row>
    <row r="1458" spans="1:4">
      <c r="A1458" s="1"/>
      <c r="B1458" s="1"/>
      <c r="C1458" s="34"/>
      <c r="D1458" s="31"/>
    </row>
    <row r="1459" spans="1:4">
      <c r="A1459" s="1"/>
      <c r="B1459" s="1"/>
      <c r="C1459" s="34"/>
      <c r="D1459" s="31"/>
    </row>
    <row r="1460" spans="1:4">
      <c r="A1460" s="1"/>
      <c r="B1460" s="1"/>
      <c r="C1460" s="34"/>
      <c r="D1460" s="31"/>
    </row>
    <row r="1461" spans="1:4">
      <c r="A1461" s="1"/>
      <c r="B1461" s="1"/>
      <c r="C1461" s="34"/>
      <c r="D1461" s="31"/>
    </row>
    <row r="1462" spans="1:4">
      <c r="A1462" s="1"/>
      <c r="B1462" s="1"/>
      <c r="C1462" s="34"/>
      <c r="D1462" s="31"/>
    </row>
    <row r="1463" spans="1:4">
      <c r="A1463" s="1"/>
      <c r="B1463" s="1"/>
      <c r="C1463" s="34"/>
      <c r="D1463" s="31"/>
    </row>
    <row r="1464" spans="1:4">
      <c r="A1464" s="1"/>
      <c r="B1464" s="1"/>
      <c r="C1464" s="34"/>
      <c r="D1464" s="31"/>
    </row>
    <row r="1465" spans="1:4">
      <c r="A1465" s="1"/>
      <c r="B1465" s="1"/>
      <c r="C1465" s="34"/>
      <c r="D1465" s="31"/>
    </row>
    <row r="1466" spans="1:4">
      <c r="A1466" s="1"/>
      <c r="B1466" s="1"/>
      <c r="C1466" s="34"/>
      <c r="D1466" s="31"/>
    </row>
    <row r="1467" spans="1:4">
      <c r="A1467" s="1"/>
      <c r="B1467" s="1"/>
      <c r="C1467" s="34"/>
      <c r="D1467" s="31"/>
    </row>
    <row r="1468" spans="1:4">
      <c r="A1468" s="1"/>
      <c r="B1468" s="1"/>
      <c r="C1468" s="34"/>
      <c r="D1468" s="31"/>
    </row>
    <row r="1469" spans="1:4">
      <c r="A1469" s="1"/>
      <c r="B1469" s="1"/>
      <c r="C1469" s="34"/>
      <c r="D1469" s="31"/>
    </row>
    <row r="1470" spans="1:4">
      <c r="A1470" s="1"/>
      <c r="B1470" s="1"/>
      <c r="C1470" s="34"/>
      <c r="D1470" s="31"/>
    </row>
    <row r="1471" spans="1:4">
      <c r="A1471" s="1"/>
      <c r="B1471" s="1"/>
      <c r="C1471" s="34"/>
      <c r="D1471" s="31"/>
    </row>
    <row r="1472" spans="1:4">
      <c r="A1472" s="1"/>
      <c r="B1472" s="1"/>
      <c r="C1472" s="34"/>
      <c r="D1472" s="31"/>
    </row>
    <row r="1473" spans="1:4">
      <c r="A1473" s="1"/>
      <c r="B1473" s="1"/>
      <c r="C1473" s="34"/>
      <c r="D1473" s="31"/>
    </row>
    <row r="1474" spans="1:4">
      <c r="A1474" s="1"/>
      <c r="B1474" s="1"/>
      <c r="C1474" s="34"/>
      <c r="D1474" s="31"/>
    </row>
    <row r="1475" spans="1:4">
      <c r="A1475" s="1"/>
      <c r="B1475" s="1"/>
      <c r="C1475" s="34"/>
      <c r="D1475" s="31"/>
    </row>
    <row r="1476" spans="1:4">
      <c r="A1476" s="1"/>
      <c r="B1476" s="1"/>
      <c r="C1476" s="34"/>
      <c r="D1476" s="31"/>
    </row>
    <row r="1477" spans="1:4">
      <c r="A1477" s="1"/>
      <c r="B1477" s="1"/>
      <c r="C1477" s="34"/>
      <c r="D1477" s="31"/>
    </row>
    <row r="1478" spans="1:4">
      <c r="A1478" s="1"/>
      <c r="B1478" s="1"/>
      <c r="C1478" s="34"/>
      <c r="D1478" s="31"/>
    </row>
    <row r="1479" spans="1:4">
      <c r="A1479" s="1"/>
      <c r="B1479" s="1"/>
      <c r="C1479" s="34"/>
      <c r="D1479" s="31"/>
    </row>
    <row r="1480" spans="1:4">
      <c r="A1480" s="1"/>
      <c r="B1480" s="1"/>
      <c r="C1480" s="34"/>
      <c r="D1480" s="31"/>
    </row>
    <row r="1481" spans="1:4">
      <c r="A1481" s="1"/>
      <c r="B1481" s="1"/>
      <c r="C1481" s="34"/>
      <c r="D1481" s="31"/>
    </row>
    <row r="1482" spans="1:4">
      <c r="A1482" s="1"/>
      <c r="B1482" s="1"/>
      <c r="C1482" s="34"/>
      <c r="D1482" s="31"/>
    </row>
    <row r="1483" spans="1:4">
      <c r="A1483" s="1"/>
      <c r="B1483" s="1"/>
      <c r="C1483" s="34"/>
      <c r="D1483" s="31"/>
    </row>
    <row r="1484" spans="1:4">
      <c r="A1484" s="1"/>
      <c r="B1484" s="1"/>
      <c r="C1484" s="34"/>
      <c r="D1484" s="31"/>
    </row>
    <row r="1485" spans="1:4">
      <c r="A1485" s="1"/>
      <c r="B1485" s="1"/>
      <c r="C1485" s="34"/>
      <c r="D1485" s="31"/>
    </row>
    <row r="1486" spans="1:4">
      <c r="A1486" s="1"/>
      <c r="B1486" s="1"/>
      <c r="C1486" s="34"/>
      <c r="D1486" s="31"/>
    </row>
    <row r="1487" spans="1:4">
      <c r="A1487" s="1"/>
      <c r="B1487" s="1"/>
      <c r="C1487" s="34"/>
      <c r="D1487" s="31"/>
    </row>
    <row r="1488" spans="1:4">
      <c r="A1488" s="1"/>
      <c r="B1488" s="1"/>
      <c r="C1488" s="34"/>
      <c r="D1488" s="31"/>
    </row>
    <row r="1489" spans="1:4">
      <c r="A1489" s="1"/>
      <c r="B1489" s="1"/>
      <c r="C1489" s="34"/>
      <c r="D1489" s="31"/>
    </row>
    <row r="1490" spans="1:4">
      <c r="A1490" s="1"/>
      <c r="B1490" s="1"/>
      <c r="C1490" s="34"/>
      <c r="D1490" s="31"/>
    </row>
    <row r="1491" spans="1:4">
      <c r="A1491" s="1"/>
      <c r="B1491" s="1"/>
      <c r="C1491" s="34"/>
      <c r="D1491" s="31"/>
    </row>
    <row r="1492" spans="1:4">
      <c r="A1492" s="1"/>
      <c r="B1492" s="1"/>
      <c r="C1492" s="34"/>
      <c r="D1492" s="31"/>
    </row>
    <row r="1493" spans="1:4">
      <c r="A1493" s="1"/>
      <c r="B1493" s="1"/>
      <c r="C1493" s="34"/>
      <c r="D1493" s="31"/>
    </row>
    <row r="1494" spans="1:4">
      <c r="A1494" s="1"/>
      <c r="B1494" s="1"/>
      <c r="C1494" s="34"/>
      <c r="D1494" s="31"/>
    </row>
    <row r="1495" spans="1:4">
      <c r="A1495" s="1"/>
      <c r="B1495" s="1"/>
      <c r="C1495" s="34"/>
      <c r="D1495" s="31"/>
    </row>
    <row r="1496" spans="1:4">
      <c r="A1496" s="1"/>
      <c r="B1496" s="1"/>
      <c r="C1496" s="34"/>
      <c r="D1496" s="31"/>
    </row>
    <row r="1497" spans="1:4">
      <c r="A1497" s="1"/>
      <c r="B1497" s="1"/>
      <c r="C1497" s="34"/>
      <c r="D1497" s="31"/>
    </row>
    <row r="1498" spans="1:4">
      <c r="A1498" s="1"/>
      <c r="B1498" s="1"/>
      <c r="C1498" s="34"/>
      <c r="D1498" s="31"/>
    </row>
    <row r="1499" spans="1:4">
      <c r="A1499" s="1"/>
      <c r="B1499" s="1"/>
      <c r="C1499" s="34"/>
      <c r="D1499" s="31"/>
    </row>
    <row r="1500" spans="1:4">
      <c r="A1500" s="1"/>
      <c r="B1500" s="1"/>
      <c r="C1500" s="34"/>
      <c r="D1500" s="31"/>
    </row>
    <row r="1501" spans="1:4">
      <c r="A1501" s="1"/>
      <c r="B1501" s="1"/>
      <c r="C1501" s="34"/>
      <c r="D1501" s="31"/>
    </row>
    <row r="1502" spans="1:4">
      <c r="A1502" s="1"/>
      <c r="B1502" s="1"/>
      <c r="C1502" s="34"/>
      <c r="D1502" s="31"/>
    </row>
    <row r="1503" spans="1:4">
      <c r="A1503" s="1"/>
      <c r="B1503" s="1"/>
      <c r="C1503" s="34"/>
      <c r="D1503" s="31"/>
    </row>
    <row r="1504" spans="1:4">
      <c r="A1504" s="1"/>
      <c r="B1504" s="1"/>
      <c r="C1504" s="34"/>
      <c r="D1504" s="31"/>
    </row>
    <row r="1505" spans="1:9">
      <c r="A1505" s="1"/>
      <c r="B1505" s="1"/>
      <c r="C1505" s="34"/>
      <c r="D1505" s="31"/>
    </row>
    <row r="1506" spans="1:9">
      <c r="I1506" s="30"/>
    </row>
    <row r="1507" spans="1:9">
      <c r="A1507" s="1"/>
      <c r="B1507" s="1"/>
      <c r="C1507" s="34"/>
      <c r="D1507" s="31"/>
      <c r="F1507" s="30"/>
      <c r="G1507" s="30"/>
      <c r="I1507" s="30"/>
    </row>
    <row r="1508" spans="1:9">
      <c r="A1508" s="1"/>
      <c r="B1508" s="1"/>
      <c r="C1508" s="34"/>
      <c r="D1508" s="31"/>
      <c r="F1508" s="30"/>
      <c r="G1508" s="30"/>
      <c r="I1508" s="30"/>
    </row>
    <row r="1509" spans="1:9">
      <c r="A1509" s="1"/>
      <c r="B1509" s="1"/>
      <c r="C1509" s="34"/>
      <c r="D1509" s="31"/>
      <c r="F1509" s="30"/>
      <c r="G1509" s="30"/>
      <c r="I1509" s="30"/>
    </row>
    <row r="1510" spans="1:9">
      <c r="A1510" s="1"/>
      <c r="B1510" s="1"/>
      <c r="C1510" s="34"/>
      <c r="D1510" s="31"/>
      <c r="F1510" s="30"/>
      <c r="G1510" s="30"/>
      <c r="I1510" s="30"/>
    </row>
    <row r="1511" spans="1:9">
      <c r="A1511" s="1"/>
      <c r="B1511" s="1"/>
      <c r="C1511" s="34"/>
      <c r="D1511" s="31"/>
      <c r="F1511" s="30"/>
      <c r="G1511" s="30"/>
      <c r="I1511" s="30"/>
    </row>
    <row r="1512" spans="1:9">
      <c r="A1512" s="1"/>
      <c r="B1512" s="1"/>
      <c r="C1512" s="34"/>
      <c r="D1512" s="31"/>
      <c r="F1512" s="30"/>
      <c r="G1512" s="30"/>
      <c r="I1512" s="30"/>
    </row>
    <row r="1513" spans="1:9">
      <c r="A1513" s="1"/>
      <c r="B1513" s="1"/>
      <c r="C1513" s="34"/>
      <c r="D1513" s="31"/>
      <c r="F1513" s="30"/>
      <c r="G1513" s="30"/>
      <c r="I1513" s="30"/>
    </row>
    <row r="1514" spans="1:9">
      <c r="A1514" s="1"/>
      <c r="B1514" s="1"/>
      <c r="C1514" s="34"/>
      <c r="D1514" s="31"/>
      <c r="F1514" s="30"/>
      <c r="G1514" s="30"/>
      <c r="I1514" s="30"/>
    </row>
    <row r="1515" spans="1:9">
      <c r="A1515" s="1"/>
      <c r="B1515" s="1"/>
      <c r="C1515" s="34"/>
      <c r="D1515" s="31"/>
      <c r="F1515" s="30"/>
      <c r="G1515" s="30"/>
      <c r="I1515" s="30"/>
    </row>
    <row r="1516" spans="1:9">
      <c r="A1516" s="1"/>
      <c r="B1516" s="1"/>
      <c r="C1516" s="34"/>
      <c r="D1516" s="31"/>
      <c r="F1516" s="30"/>
      <c r="G1516" s="30"/>
      <c r="I1516" s="30"/>
    </row>
    <row r="1517" spans="1:9">
      <c r="A1517" s="1"/>
      <c r="B1517" s="1"/>
      <c r="C1517" s="34"/>
      <c r="D1517" s="31"/>
      <c r="F1517" s="30"/>
      <c r="G1517" s="30"/>
      <c r="I1517" s="30"/>
    </row>
    <row r="1518" spans="1:9">
      <c r="A1518" s="1"/>
      <c r="B1518" s="1"/>
      <c r="C1518" s="34"/>
      <c r="D1518" s="31"/>
      <c r="F1518" s="30"/>
      <c r="G1518" s="30"/>
      <c r="I1518" s="30"/>
    </row>
    <row r="1519" spans="1:9">
      <c r="A1519" s="1"/>
      <c r="B1519" s="1"/>
      <c r="C1519" s="34"/>
      <c r="D1519" s="31"/>
      <c r="F1519" s="30"/>
      <c r="G1519" s="30"/>
      <c r="I1519" s="30"/>
    </row>
    <row r="1520" spans="1:9">
      <c r="A1520" s="1"/>
      <c r="B1520" s="1"/>
      <c r="C1520" s="34"/>
      <c r="D1520" s="31"/>
      <c r="F1520" s="30"/>
      <c r="G1520" s="30"/>
      <c r="I1520" s="30"/>
    </row>
    <row r="1521" spans="1:9">
      <c r="A1521" s="1"/>
      <c r="B1521" s="1"/>
      <c r="C1521" s="34"/>
      <c r="D1521" s="31"/>
      <c r="F1521" s="30"/>
      <c r="G1521" s="30"/>
      <c r="I1521" s="30"/>
    </row>
    <row r="1522" spans="1:9">
      <c r="A1522" s="1"/>
      <c r="B1522" s="1"/>
      <c r="C1522" s="34"/>
      <c r="D1522" s="31"/>
      <c r="F1522" s="30"/>
      <c r="G1522" s="30"/>
      <c r="I1522" s="30"/>
    </row>
    <row r="1523" spans="1:9">
      <c r="A1523" s="1"/>
      <c r="B1523" s="1"/>
      <c r="C1523" s="34"/>
      <c r="D1523" s="31"/>
      <c r="F1523" s="30"/>
      <c r="G1523" s="30"/>
      <c r="I1523" s="30"/>
    </row>
    <row r="1524" spans="1:9">
      <c r="A1524" s="1"/>
      <c r="B1524" s="1"/>
      <c r="C1524" s="34"/>
      <c r="D1524" s="31"/>
      <c r="F1524" s="30"/>
      <c r="G1524" s="30"/>
      <c r="I1524" s="30"/>
    </row>
    <row r="1525" spans="1:9">
      <c r="A1525" s="1"/>
      <c r="B1525" s="1"/>
      <c r="C1525" s="34"/>
      <c r="D1525" s="31"/>
      <c r="F1525" s="30"/>
      <c r="G1525" s="30"/>
      <c r="I1525" s="30"/>
    </row>
    <row r="1526" spans="1:9">
      <c r="A1526" s="1"/>
      <c r="B1526" s="1"/>
      <c r="C1526" s="34"/>
      <c r="D1526" s="31"/>
      <c r="F1526" s="30"/>
      <c r="G1526" s="30"/>
      <c r="I1526" s="30"/>
    </row>
    <row r="1527" spans="1:9">
      <c r="A1527" s="1"/>
      <c r="B1527" s="1"/>
      <c r="C1527" s="34"/>
      <c r="D1527" s="31"/>
      <c r="F1527" s="30"/>
      <c r="G1527" s="30"/>
      <c r="I1527" s="30"/>
    </row>
    <row r="1528" spans="1:9">
      <c r="A1528" s="1"/>
      <c r="B1528" s="1"/>
      <c r="C1528" s="34"/>
      <c r="D1528" s="31"/>
      <c r="F1528" s="30"/>
      <c r="G1528" s="30"/>
      <c r="I1528" s="30"/>
    </row>
    <row r="1529" spans="1:9">
      <c r="A1529" s="1"/>
      <c r="B1529" s="1"/>
      <c r="C1529" s="34"/>
      <c r="D1529" s="31"/>
      <c r="F1529" s="30"/>
      <c r="G1529" s="30"/>
      <c r="I1529" s="30"/>
    </row>
    <row r="1530" spans="1:9">
      <c r="A1530" s="1"/>
      <c r="B1530" s="1"/>
      <c r="C1530" s="34"/>
      <c r="D1530" s="31"/>
      <c r="F1530" s="30"/>
      <c r="G1530" s="30"/>
      <c r="I1530" s="30"/>
    </row>
    <row r="1531" spans="1:9">
      <c r="A1531" s="1"/>
      <c r="B1531" s="1"/>
      <c r="C1531" s="34"/>
      <c r="D1531" s="31"/>
      <c r="F1531" s="30"/>
      <c r="G1531" s="30"/>
      <c r="I1531" s="30"/>
    </row>
    <row r="1532" spans="1:9">
      <c r="A1532" s="1"/>
      <c r="B1532" s="1"/>
      <c r="C1532" s="34"/>
      <c r="D1532" s="31"/>
      <c r="F1532" s="30"/>
      <c r="G1532" s="30"/>
      <c r="I1532" s="30"/>
    </row>
    <row r="1533" spans="1:9">
      <c r="A1533" s="1"/>
      <c r="B1533" s="1"/>
      <c r="C1533" s="34"/>
      <c r="D1533" s="31"/>
      <c r="F1533" s="30"/>
      <c r="G1533" s="30"/>
      <c r="I1533" s="30"/>
    </row>
    <row r="1534" spans="1:9">
      <c r="A1534" s="1"/>
      <c r="B1534" s="1"/>
      <c r="C1534" s="34"/>
      <c r="D1534" s="31"/>
      <c r="F1534" s="30"/>
      <c r="G1534" s="30"/>
      <c r="I1534" s="30"/>
    </row>
    <row r="1535" spans="1:9">
      <c r="A1535" s="1"/>
      <c r="B1535" s="1"/>
      <c r="C1535" s="34"/>
      <c r="D1535" s="31"/>
      <c r="F1535" s="30"/>
      <c r="G1535" s="30"/>
      <c r="I1535" s="30"/>
    </row>
    <row r="1536" spans="1:9">
      <c r="A1536" s="1"/>
      <c r="B1536" s="1"/>
      <c r="C1536" s="34"/>
      <c r="D1536" s="31"/>
      <c r="F1536" s="30"/>
      <c r="G1536" s="30"/>
      <c r="I1536" s="30"/>
    </row>
    <row r="1537" spans="1:9">
      <c r="A1537" s="1"/>
      <c r="B1537" s="1"/>
      <c r="C1537" s="34"/>
      <c r="D1537" s="31"/>
      <c r="F1537" s="30"/>
      <c r="G1537" s="30"/>
      <c r="I1537" s="30"/>
    </row>
    <row r="1538" spans="1:9">
      <c r="A1538" s="1"/>
      <c r="B1538" s="1"/>
      <c r="C1538" s="34"/>
      <c r="D1538" s="31"/>
      <c r="F1538" s="30"/>
      <c r="G1538" s="30"/>
      <c r="I1538" s="30"/>
    </row>
    <row r="1539" spans="1:9">
      <c r="A1539" s="1"/>
      <c r="B1539" s="1"/>
      <c r="C1539" s="34"/>
      <c r="D1539" s="31"/>
      <c r="F1539" s="30"/>
      <c r="G1539" s="30"/>
      <c r="I1539" s="30"/>
    </row>
    <row r="1540" spans="1:9">
      <c r="A1540" s="1"/>
      <c r="B1540" s="1"/>
      <c r="C1540" s="34"/>
      <c r="D1540" s="31"/>
      <c r="F1540" s="30"/>
      <c r="G1540" s="30"/>
      <c r="I1540" s="30"/>
    </row>
    <row r="1541" spans="1:9">
      <c r="A1541" s="1"/>
      <c r="B1541" s="1"/>
      <c r="C1541" s="34"/>
      <c r="D1541" s="31"/>
      <c r="F1541" s="30"/>
      <c r="G1541" s="30"/>
      <c r="I1541" s="30"/>
    </row>
    <row r="1542" spans="1:9">
      <c r="A1542" s="1"/>
      <c r="B1542" s="1"/>
      <c r="C1542" s="34"/>
      <c r="D1542" s="31"/>
      <c r="F1542" s="30"/>
      <c r="G1542" s="30"/>
      <c r="I1542" s="30"/>
    </row>
    <row r="1543" spans="1:9">
      <c r="A1543" s="1"/>
      <c r="B1543" s="1"/>
      <c r="C1543" s="34"/>
      <c r="D1543" s="31"/>
      <c r="F1543" s="30"/>
      <c r="G1543" s="30"/>
      <c r="I1543" s="30"/>
    </row>
    <row r="1544" spans="1:9">
      <c r="A1544" s="1"/>
      <c r="B1544" s="1"/>
      <c r="C1544" s="34"/>
      <c r="D1544" s="31"/>
      <c r="F1544" s="30"/>
      <c r="G1544" s="30"/>
      <c r="I1544" s="30"/>
    </row>
    <row r="1545" spans="1:9">
      <c r="A1545" s="1"/>
      <c r="B1545" s="1"/>
      <c r="C1545" s="34"/>
      <c r="D1545" s="31"/>
      <c r="F1545" s="30"/>
      <c r="G1545" s="30"/>
      <c r="I1545" s="30"/>
    </row>
    <row r="1546" spans="1:9">
      <c r="A1546" s="1"/>
      <c r="B1546" s="1"/>
      <c r="C1546" s="34"/>
      <c r="D1546" s="31"/>
      <c r="F1546" s="30"/>
      <c r="G1546" s="30"/>
      <c r="I1546" s="30"/>
    </row>
    <row r="1547" spans="1:9">
      <c r="A1547" s="1"/>
      <c r="B1547" s="1"/>
      <c r="C1547" s="34"/>
      <c r="D1547" s="31"/>
      <c r="F1547" s="30"/>
      <c r="G1547" s="30"/>
      <c r="I1547" s="30"/>
    </row>
    <row r="1548" spans="1:9">
      <c r="A1548" s="1"/>
      <c r="B1548" s="1"/>
      <c r="C1548" s="34"/>
      <c r="D1548" s="31"/>
      <c r="F1548" s="30"/>
      <c r="G1548" s="30"/>
      <c r="I1548" s="30"/>
    </row>
    <row r="1549" spans="1:9">
      <c r="A1549" s="1"/>
      <c r="B1549" s="1"/>
      <c r="C1549" s="34"/>
      <c r="D1549" s="31"/>
      <c r="F1549" s="30"/>
      <c r="G1549" s="30"/>
      <c r="I1549" s="30"/>
    </row>
    <row r="1550" spans="1:9">
      <c r="A1550" s="1"/>
      <c r="B1550" s="1"/>
      <c r="C1550" s="34"/>
      <c r="D1550" s="31"/>
      <c r="F1550" s="30"/>
      <c r="G1550" s="30"/>
      <c r="I1550" s="30"/>
    </row>
    <row r="1551" spans="1:9">
      <c r="A1551" s="1"/>
      <c r="B1551" s="1"/>
      <c r="C1551" s="34"/>
      <c r="D1551" s="31"/>
      <c r="F1551" s="30"/>
      <c r="G1551" s="30"/>
      <c r="I1551" s="30"/>
    </row>
    <row r="1552" spans="1:9">
      <c r="A1552" s="1"/>
      <c r="B1552" s="1"/>
      <c r="C1552" s="34"/>
      <c r="D1552" s="31"/>
      <c r="F1552" s="30"/>
      <c r="G1552" s="30"/>
      <c r="I1552" s="30"/>
    </row>
    <row r="1553" spans="1:9">
      <c r="A1553" s="1"/>
      <c r="B1553" s="1"/>
      <c r="C1553" s="34"/>
      <c r="D1553" s="31"/>
      <c r="F1553" s="30"/>
      <c r="G1553" s="30"/>
      <c r="I1553" s="30"/>
    </row>
    <row r="1554" spans="1:9">
      <c r="A1554" s="1"/>
      <c r="B1554" s="1"/>
      <c r="C1554" s="34"/>
      <c r="D1554" s="31"/>
      <c r="F1554" s="30"/>
      <c r="G1554" s="30"/>
      <c r="I1554" s="30"/>
    </row>
    <row r="1555" spans="1:9">
      <c r="A1555" s="1"/>
      <c r="B1555" s="1"/>
      <c r="C1555" s="34"/>
      <c r="D1555" s="31"/>
      <c r="F1555" s="30"/>
      <c r="G1555" s="30"/>
      <c r="I1555" s="30"/>
    </row>
    <row r="1556" spans="1:9">
      <c r="A1556" s="1"/>
      <c r="B1556" s="1"/>
      <c r="C1556" s="34"/>
      <c r="D1556" s="31"/>
      <c r="F1556" s="30"/>
      <c r="G1556" s="30"/>
      <c r="I1556" s="30"/>
    </row>
    <row r="1557" spans="1:9">
      <c r="A1557" s="1"/>
      <c r="B1557" s="1"/>
      <c r="C1557" s="34"/>
      <c r="D1557" s="31"/>
      <c r="F1557" s="30"/>
      <c r="G1557" s="30"/>
      <c r="I1557" s="30"/>
    </row>
    <row r="1558" spans="1:9">
      <c r="A1558" s="1"/>
      <c r="B1558" s="1"/>
      <c r="C1558" s="34"/>
      <c r="D1558" s="31"/>
      <c r="F1558" s="30"/>
      <c r="G1558" s="30"/>
      <c r="I1558" s="30"/>
    </row>
    <row r="1559" spans="1:9">
      <c r="A1559" s="1"/>
      <c r="B1559" s="1"/>
      <c r="C1559" s="34"/>
      <c r="D1559" s="31"/>
      <c r="F1559" s="30"/>
      <c r="G1559" s="30"/>
      <c r="I1559" s="30"/>
    </row>
    <row r="1560" spans="1:9">
      <c r="A1560" s="1"/>
      <c r="B1560" s="1"/>
      <c r="C1560" s="34"/>
      <c r="D1560" s="31"/>
      <c r="F1560" s="30"/>
      <c r="G1560" s="30"/>
      <c r="I1560" s="30"/>
    </row>
    <row r="1561" spans="1:9">
      <c r="A1561" s="1"/>
      <c r="B1561" s="1"/>
      <c r="C1561" s="34"/>
      <c r="D1561" s="31"/>
      <c r="F1561" s="30"/>
      <c r="G1561" s="30"/>
      <c r="I1561" s="30"/>
    </row>
    <row r="1562" spans="1:9">
      <c r="A1562" s="1"/>
      <c r="B1562" s="1"/>
      <c r="C1562" s="34"/>
      <c r="D1562" s="31"/>
      <c r="F1562" s="30"/>
      <c r="G1562" s="30"/>
      <c r="I1562" s="30"/>
    </row>
    <row r="1563" spans="1:9">
      <c r="A1563" s="1"/>
      <c r="B1563" s="1"/>
      <c r="C1563" s="34"/>
      <c r="D1563" s="31"/>
      <c r="F1563" s="30"/>
      <c r="G1563" s="30"/>
      <c r="I1563" s="30"/>
    </row>
    <row r="1564" spans="1:9">
      <c r="A1564" s="1"/>
      <c r="B1564" s="1"/>
      <c r="C1564" s="34"/>
      <c r="D1564" s="31"/>
      <c r="F1564" s="30"/>
      <c r="G1564" s="30"/>
      <c r="I1564" s="30"/>
    </row>
    <row r="1565" spans="1:9">
      <c r="A1565" s="1"/>
      <c r="B1565" s="1"/>
      <c r="C1565" s="34"/>
      <c r="D1565" s="31"/>
      <c r="F1565" s="30"/>
      <c r="G1565" s="30"/>
      <c r="I1565" s="30"/>
    </row>
    <row r="1566" spans="1:9">
      <c r="A1566" s="1"/>
      <c r="B1566" s="1"/>
      <c r="C1566" s="34"/>
      <c r="D1566" s="31"/>
      <c r="F1566" s="30"/>
      <c r="G1566" s="30"/>
      <c r="I1566" s="30"/>
    </row>
    <row r="1567" spans="1:9">
      <c r="A1567" s="1"/>
      <c r="B1567" s="1"/>
      <c r="C1567" s="34"/>
      <c r="D1567" s="31"/>
      <c r="F1567" s="30"/>
      <c r="G1567" s="30"/>
      <c r="I1567" s="30"/>
    </row>
    <row r="1568" spans="1:9">
      <c r="A1568" s="1"/>
      <c r="B1568" s="1"/>
      <c r="C1568" s="34"/>
      <c r="D1568" s="31"/>
      <c r="F1568" s="30"/>
      <c r="G1568" s="30"/>
      <c r="I1568" s="30"/>
    </row>
    <row r="1569" spans="1:9">
      <c r="A1569" s="1"/>
      <c r="B1569" s="1"/>
      <c r="C1569" s="34"/>
      <c r="D1569" s="31"/>
      <c r="F1569" s="30"/>
      <c r="G1569" s="30"/>
      <c r="I1569" s="30"/>
    </row>
    <row r="1570" spans="1:9">
      <c r="A1570" s="1"/>
      <c r="B1570" s="1"/>
      <c r="C1570" s="34"/>
      <c r="D1570" s="31"/>
      <c r="F1570" s="30"/>
      <c r="G1570" s="30"/>
      <c r="I1570" s="30"/>
    </row>
    <row r="1571" spans="1:9">
      <c r="A1571" s="1"/>
      <c r="B1571" s="1"/>
      <c r="C1571" s="34"/>
      <c r="D1571" s="31"/>
      <c r="F1571" s="30"/>
      <c r="G1571" s="30"/>
      <c r="I1571" s="30"/>
    </row>
    <row r="1572" spans="1:9">
      <c r="A1572" s="1"/>
      <c r="B1572" s="1"/>
      <c r="C1572" s="34"/>
      <c r="D1572" s="31"/>
      <c r="F1572" s="30"/>
      <c r="G1572" s="30"/>
      <c r="I1572" s="30"/>
    </row>
    <row r="1573" spans="1:9">
      <c r="A1573" s="1"/>
      <c r="B1573" s="1"/>
      <c r="C1573" s="34"/>
      <c r="D1573" s="31"/>
      <c r="F1573" s="30"/>
      <c r="G1573" s="30"/>
      <c r="I1573" s="30"/>
    </row>
    <row r="1574" spans="1:9">
      <c r="A1574" s="1"/>
      <c r="B1574" s="1"/>
      <c r="C1574" s="34"/>
      <c r="D1574" s="31"/>
      <c r="F1574" s="30"/>
      <c r="G1574" s="30"/>
      <c r="I1574" s="30"/>
    </row>
    <row r="1575" spans="1:9">
      <c r="A1575" s="1"/>
      <c r="B1575" s="1"/>
      <c r="C1575" s="34"/>
      <c r="D1575" s="31"/>
      <c r="F1575" s="30"/>
      <c r="G1575" s="30"/>
      <c r="I1575" s="30"/>
    </row>
    <row r="1576" spans="1:9">
      <c r="A1576" s="1"/>
      <c r="B1576" s="1"/>
      <c r="C1576" s="34"/>
      <c r="D1576" s="31"/>
      <c r="F1576" s="30"/>
      <c r="G1576" s="30"/>
      <c r="I1576" s="30"/>
    </row>
    <row r="1577" spans="1:9">
      <c r="A1577" s="1"/>
      <c r="B1577" s="1"/>
      <c r="C1577" s="34"/>
      <c r="D1577" s="31"/>
      <c r="F1577" s="30"/>
      <c r="G1577" s="30"/>
      <c r="I1577" s="30"/>
    </row>
    <row r="1578" spans="1:9">
      <c r="A1578" s="1"/>
      <c r="B1578" s="1"/>
      <c r="C1578" s="34"/>
      <c r="D1578" s="31"/>
      <c r="F1578" s="30"/>
      <c r="G1578" s="30"/>
      <c r="I1578" s="30"/>
    </row>
    <row r="1579" spans="1:9">
      <c r="A1579" s="1"/>
      <c r="B1579" s="1"/>
      <c r="C1579" s="34"/>
      <c r="D1579" s="31"/>
      <c r="F1579" s="30"/>
      <c r="G1579" s="30"/>
      <c r="I1579" s="30"/>
    </row>
    <row r="1580" spans="1:9">
      <c r="A1580" s="1"/>
      <c r="B1580" s="1"/>
      <c r="C1580" s="34"/>
      <c r="D1580" s="31"/>
      <c r="F1580" s="30"/>
      <c r="G1580" s="30"/>
      <c r="I1580" s="30"/>
    </row>
    <row r="1581" spans="1:9">
      <c r="A1581" s="1"/>
      <c r="B1581" s="1"/>
      <c r="C1581" s="34"/>
      <c r="D1581" s="31"/>
      <c r="F1581" s="30"/>
      <c r="G1581" s="30"/>
      <c r="I1581" s="30"/>
    </row>
    <row r="1582" spans="1:9">
      <c r="A1582" s="1"/>
      <c r="B1582" s="1"/>
      <c r="C1582" s="34"/>
      <c r="D1582" s="31"/>
      <c r="F1582" s="30"/>
      <c r="G1582" s="30"/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84"/>
  <sheetViews>
    <sheetView workbookViewId="0">
      <pane ySplit="1" topLeftCell="A2" activePane="bottomLeft" state="frozen"/>
      <selection pane="bottomLeft" activeCell="G15" sqref="G15"/>
    </sheetView>
  </sheetViews>
  <sheetFormatPr baseColWidth="10" defaultColWidth="10.83203125" defaultRowHeight="16"/>
  <cols>
    <col min="1" max="1" width="26.83203125" style="2" customWidth="1"/>
    <col min="2" max="2" width="9.5" style="2" customWidth="1"/>
    <col min="3" max="3" width="11" style="2" customWidth="1"/>
    <col min="4" max="4" width="10" style="36" customWidth="1"/>
    <col min="5" max="5" width="13.6640625" style="2" customWidth="1"/>
    <col min="6" max="6" width="18" style="2" customWidth="1"/>
    <col min="7" max="7" width="16.1640625" style="101" customWidth="1"/>
    <col min="8" max="8" width="13" style="2" customWidth="1"/>
    <col min="9" max="9" width="11.83203125" style="89" customWidth="1"/>
    <col min="10" max="10" width="13" style="2" customWidth="1"/>
    <col min="11" max="11" width="11.83203125" style="89" customWidth="1"/>
    <col min="12" max="12" width="13" style="2" customWidth="1"/>
    <col min="13" max="13" width="15" style="89" customWidth="1"/>
    <col min="14" max="14" width="13" style="2" customWidth="1"/>
    <col min="15" max="15" width="14" style="89" customWidth="1"/>
    <col min="16" max="16384" width="10.83203125" style="2"/>
  </cols>
  <sheetData>
    <row r="1" spans="1:15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100" t="s">
        <v>17</v>
      </c>
      <c r="H1" s="8" t="s">
        <v>10</v>
      </c>
      <c r="I1" s="87" t="s">
        <v>11</v>
      </c>
      <c r="J1" s="8" t="s">
        <v>10</v>
      </c>
      <c r="K1" s="87" t="s">
        <v>14</v>
      </c>
      <c r="L1" s="8" t="s">
        <v>10</v>
      </c>
      <c r="M1" s="87" t="s">
        <v>15</v>
      </c>
      <c r="N1" s="8" t="s">
        <v>10</v>
      </c>
      <c r="O1" s="87" t="s">
        <v>16</v>
      </c>
    </row>
    <row r="2" spans="1:15">
      <c r="A2" s="1" t="s">
        <v>34</v>
      </c>
      <c r="B2" s="1" t="s">
        <v>29</v>
      </c>
      <c r="C2" s="32">
        <v>64.821234042553201</v>
      </c>
      <c r="D2" s="28">
        <f t="shared" ref="D2:D47" si="0">C2*1000</f>
        <v>64821.234042553202</v>
      </c>
      <c r="E2" s="1" t="s">
        <v>26</v>
      </c>
      <c r="F2" s="29">
        <v>8.1323527942200684</v>
      </c>
      <c r="G2" s="101">
        <f>(F2-7.8903692)/1.06068608</f>
        <v>0.22813874791311309</v>
      </c>
      <c r="H2" s="3">
        <v>0.21065048777600001</v>
      </c>
      <c r="I2" s="88">
        <v>64800</v>
      </c>
      <c r="J2" s="3">
        <v>0.21065048777600001</v>
      </c>
      <c r="K2" s="88">
        <v>64800</v>
      </c>
      <c r="L2" s="3">
        <v>0.21065048777600001</v>
      </c>
      <c r="M2" s="88">
        <v>64800</v>
      </c>
      <c r="N2" s="3">
        <v>0.21065048777600001</v>
      </c>
      <c r="O2" s="88">
        <v>64800</v>
      </c>
    </row>
    <row r="3" spans="1:15">
      <c r="A3" s="1" t="s">
        <v>34</v>
      </c>
      <c r="B3" s="1" t="s">
        <v>29</v>
      </c>
      <c r="C3" s="32">
        <v>64.821234042553201</v>
      </c>
      <c r="D3" s="28">
        <f t="shared" si="0"/>
        <v>64821.234042553202</v>
      </c>
      <c r="E3" s="1" t="s">
        <v>26</v>
      </c>
      <c r="F3" s="29">
        <v>8.5792208745214253</v>
      </c>
      <c r="G3" s="101">
        <f t="shared" ref="G3:G47" si="1">(F3-7.8903692)/1.06068608</f>
        <v>0.6494397235055871</v>
      </c>
      <c r="H3" s="3">
        <v>0.42704703520999998</v>
      </c>
      <c r="I3" s="88">
        <v>65000</v>
      </c>
      <c r="J3" s="3">
        <v>0.42704703520999998</v>
      </c>
      <c r="K3" s="88">
        <v>64950</v>
      </c>
      <c r="L3" s="3">
        <v>8.2906763976699993E-2</v>
      </c>
      <c r="M3" s="88">
        <v>64900.000000000007</v>
      </c>
      <c r="N3" s="3">
        <v>8.2906763976699993E-2</v>
      </c>
      <c r="O3" s="88">
        <v>64900.000000000007</v>
      </c>
    </row>
    <row r="4" spans="1:15">
      <c r="A4" s="1" t="s">
        <v>34</v>
      </c>
      <c r="B4" s="1" t="s">
        <v>29</v>
      </c>
      <c r="C4" s="32">
        <v>64.901978723404255</v>
      </c>
      <c r="D4" s="28">
        <f t="shared" si="0"/>
        <v>64901.978723404252</v>
      </c>
      <c r="E4" s="1" t="s">
        <v>26</v>
      </c>
      <c r="F4" s="29">
        <v>8.1291543914468978</v>
      </c>
      <c r="G4" s="101">
        <f t="shared" si="1"/>
        <v>0.22512333851585709</v>
      </c>
      <c r="H4" s="3">
        <v>0.306164800372</v>
      </c>
      <c r="I4" s="88">
        <v>65200</v>
      </c>
      <c r="J4" s="3">
        <v>0.50107551065300004</v>
      </c>
      <c r="K4" s="88">
        <v>65250</v>
      </c>
      <c r="L4" s="3">
        <v>0.55029845110800002</v>
      </c>
      <c r="M4" s="88">
        <v>65000</v>
      </c>
      <c r="N4" s="3">
        <v>0.32608964580400002</v>
      </c>
      <c r="O4" s="88">
        <v>64950</v>
      </c>
    </row>
    <row r="5" spans="1:15">
      <c r="A5" s="1" t="s">
        <v>34</v>
      </c>
      <c r="B5" s="1" t="s">
        <v>29</v>
      </c>
      <c r="C5" s="32">
        <v>64.901978723404255</v>
      </c>
      <c r="D5" s="28">
        <f t="shared" si="0"/>
        <v>64901.978723404252</v>
      </c>
      <c r="E5" s="1" t="s">
        <v>26</v>
      </c>
      <c r="F5" s="29">
        <v>8.3050304924393696</v>
      </c>
      <c r="G5" s="101">
        <f t="shared" si="1"/>
        <v>0.39093686648491638</v>
      </c>
      <c r="H5" s="3">
        <v>1.19357225373</v>
      </c>
      <c r="I5" s="88">
        <v>65400.000000000007</v>
      </c>
      <c r="J5" s="3">
        <v>1.0674416549200001</v>
      </c>
      <c r="K5" s="88">
        <v>65400.000000000007</v>
      </c>
      <c r="L5" s="3">
        <v>0.156829620571</v>
      </c>
      <c r="M5" s="88">
        <v>65200</v>
      </c>
      <c r="N5" s="3">
        <v>0.26038238544999998</v>
      </c>
      <c r="O5" s="88">
        <v>65000</v>
      </c>
    </row>
    <row r="6" spans="1:15">
      <c r="A6" s="1" t="s">
        <v>34</v>
      </c>
      <c r="B6" s="1" t="s">
        <v>29</v>
      </c>
      <c r="C6" s="32">
        <v>64.972191489361705</v>
      </c>
      <c r="D6" s="28">
        <f t="shared" si="0"/>
        <v>64972.191489361707</v>
      </c>
      <c r="E6" s="1" t="s">
        <v>26</v>
      </c>
      <c r="F6" s="29">
        <v>8.5770316690578596</v>
      </c>
      <c r="G6" s="101">
        <f t="shared" si="1"/>
        <v>0.64737577121579581</v>
      </c>
      <c r="H6" s="3">
        <v>2.61435978624E-2</v>
      </c>
      <c r="I6" s="88">
        <v>65600</v>
      </c>
      <c r="J6" s="3">
        <v>2.61435978624E-2</v>
      </c>
      <c r="K6" s="88">
        <v>65550</v>
      </c>
      <c r="L6" s="3">
        <v>0.53166215959399998</v>
      </c>
      <c r="M6" s="88">
        <v>65300</v>
      </c>
      <c r="N6" s="3">
        <v>0.20986225475299999</v>
      </c>
      <c r="O6" s="88">
        <v>65250</v>
      </c>
    </row>
    <row r="7" spans="1:15">
      <c r="A7" s="1" t="s">
        <v>34</v>
      </c>
      <c r="B7" s="1" t="s">
        <v>29</v>
      </c>
      <c r="C7" s="32">
        <v>64.972191489361705</v>
      </c>
      <c r="D7" s="28">
        <f t="shared" si="0"/>
        <v>64972.191489361707</v>
      </c>
      <c r="E7" s="1" t="s">
        <v>26</v>
      </c>
      <c r="F7" s="29">
        <v>7.8852741727202416</v>
      </c>
      <c r="G7" s="101">
        <f t="shared" si="1"/>
        <v>-4.8035204532511123E-3</v>
      </c>
      <c r="H7" s="3">
        <v>0.66466413883099995</v>
      </c>
      <c r="I7" s="88">
        <v>66000</v>
      </c>
      <c r="J7" s="3">
        <v>1.8978204561000001</v>
      </c>
      <c r="K7" s="88">
        <v>66300</v>
      </c>
      <c r="L7" s="3">
        <v>1.30955293823</v>
      </c>
      <c r="M7" s="88">
        <v>65400.000000000007</v>
      </c>
      <c r="N7" s="3">
        <v>0.39538093440099997</v>
      </c>
      <c r="O7" s="88">
        <v>65349.999999999993</v>
      </c>
    </row>
    <row r="8" spans="1:15">
      <c r="A8" s="1" t="s">
        <v>34</v>
      </c>
      <c r="B8" s="1" t="s">
        <v>29</v>
      </c>
      <c r="C8" s="32">
        <v>65.009404255319154</v>
      </c>
      <c r="D8" s="28">
        <f t="shared" si="0"/>
        <v>65009.404255319154</v>
      </c>
      <c r="E8" s="1" t="s">
        <v>26</v>
      </c>
      <c r="F8" s="29">
        <v>8.5840745184952922</v>
      </c>
      <c r="G8" s="101">
        <f t="shared" si="1"/>
        <v>0.65401567115436454</v>
      </c>
      <c r="H8" s="3">
        <v>0.49684705220699998</v>
      </c>
      <c r="I8" s="88">
        <v>66200</v>
      </c>
      <c r="J8" s="3">
        <v>0.98738223668299996</v>
      </c>
      <c r="K8" s="88">
        <v>66450</v>
      </c>
      <c r="L8" s="3">
        <v>1.02484691389</v>
      </c>
      <c r="M8" s="88">
        <v>65500</v>
      </c>
      <c r="N8" s="3">
        <v>0.92819747190900004</v>
      </c>
      <c r="O8" s="88">
        <v>65400.000000000007</v>
      </c>
    </row>
    <row r="9" spans="1:15">
      <c r="A9" s="1" t="s">
        <v>34</v>
      </c>
      <c r="B9" s="1" t="s">
        <v>29</v>
      </c>
      <c r="C9" s="32">
        <v>65.009404255319154</v>
      </c>
      <c r="D9" s="28">
        <f t="shared" si="0"/>
        <v>65009.404255319154</v>
      </c>
      <c r="E9" s="1" t="s">
        <v>26</v>
      </c>
      <c r="F9" s="29">
        <v>8.0317065749955034</v>
      </c>
      <c r="G9" s="101">
        <f t="shared" si="1"/>
        <v>0.13325090020555672</v>
      </c>
      <c r="H9" s="3">
        <v>0.91012790505300001</v>
      </c>
      <c r="I9" s="88">
        <v>66400</v>
      </c>
      <c r="J9" s="3"/>
      <c r="K9" s="88"/>
      <c r="L9" s="3">
        <v>0.66466413883099995</v>
      </c>
      <c r="M9" s="88">
        <v>66100</v>
      </c>
      <c r="N9" s="3">
        <v>0.952345612171</v>
      </c>
      <c r="O9" s="88">
        <v>65450</v>
      </c>
    </row>
    <row r="10" spans="1:15">
      <c r="A10" s="1" t="s">
        <v>34</v>
      </c>
      <c r="B10" s="1" t="s">
        <v>29</v>
      </c>
      <c r="C10" s="32">
        <v>65.161765957446804</v>
      </c>
      <c r="D10" s="28">
        <f t="shared" si="0"/>
        <v>65161.765957446805</v>
      </c>
      <c r="E10" s="1" t="s">
        <v>26</v>
      </c>
      <c r="F10" s="29">
        <v>8.2333756442695787</v>
      </c>
      <c r="G10" s="101">
        <f t="shared" si="1"/>
        <v>0.32338167789434774</v>
      </c>
      <c r="L10" s="3">
        <v>1.8978204561000001</v>
      </c>
      <c r="M10" s="88">
        <v>66300</v>
      </c>
      <c r="N10" s="3">
        <v>2.61435978624E-2</v>
      </c>
      <c r="O10" s="88">
        <v>65500</v>
      </c>
    </row>
    <row r="11" spans="1:15">
      <c r="A11" s="1" t="s">
        <v>34</v>
      </c>
      <c r="B11" s="1" t="s">
        <v>29</v>
      </c>
      <c r="C11" s="32">
        <v>65.201787234042555</v>
      </c>
      <c r="D11" s="28">
        <f t="shared" si="0"/>
        <v>65201.787234042553</v>
      </c>
      <c r="E11" s="1" t="s">
        <v>26</v>
      </c>
      <c r="F11" s="29">
        <v>8.074377997362701</v>
      </c>
      <c r="G11" s="101">
        <f t="shared" si="1"/>
        <v>0.17348092035176016</v>
      </c>
      <c r="L11" s="3">
        <v>0.496093999791</v>
      </c>
      <c r="M11" s="88">
        <v>66400</v>
      </c>
      <c r="N11" s="3">
        <v>0.43066276912599999</v>
      </c>
      <c r="O11" s="88">
        <v>66250</v>
      </c>
    </row>
    <row r="12" spans="1:15">
      <c r="A12" s="1" t="s">
        <v>34</v>
      </c>
      <c r="B12" s="1" t="s">
        <v>29</v>
      </c>
      <c r="C12" s="32">
        <v>65.239000000000004</v>
      </c>
      <c r="D12" s="28">
        <f t="shared" si="0"/>
        <v>65239.000000000007</v>
      </c>
      <c r="E12" s="1" t="s">
        <v>26</v>
      </c>
      <c r="F12" s="29">
        <v>8.4070719883362965</v>
      </c>
      <c r="G12" s="101">
        <f t="shared" si="1"/>
        <v>0.48714016152290435</v>
      </c>
      <c r="H12" s="79"/>
      <c r="J12" s="79"/>
      <c r="K12" s="99"/>
      <c r="L12" s="3">
        <v>1.17746006013</v>
      </c>
      <c r="M12" s="88">
        <v>66500</v>
      </c>
      <c r="N12" s="3">
        <v>1.1918958854099999</v>
      </c>
      <c r="O12" s="88">
        <v>66300</v>
      </c>
    </row>
    <row r="13" spans="1:15">
      <c r="A13" s="1" t="s">
        <v>34</v>
      </c>
      <c r="B13" s="1" t="s">
        <v>29</v>
      </c>
      <c r="C13" s="32">
        <v>65.272000000000006</v>
      </c>
      <c r="D13" s="28">
        <f t="shared" si="0"/>
        <v>65272.000000000007</v>
      </c>
      <c r="E13" s="1" t="s">
        <v>26</v>
      </c>
      <c r="F13" s="29">
        <v>8.8522679330463507</v>
      </c>
      <c r="G13" s="101">
        <f t="shared" si="1"/>
        <v>0.9068646710687015</v>
      </c>
      <c r="H13" s="79"/>
      <c r="J13" s="79"/>
      <c r="K13" s="99"/>
      <c r="N13" s="3">
        <v>0.99270370353199999</v>
      </c>
      <c r="O13" s="88">
        <v>66350</v>
      </c>
    </row>
    <row r="14" spans="1:15">
      <c r="A14" s="1" t="s">
        <v>34</v>
      </c>
      <c r="B14" s="1" t="s">
        <v>29</v>
      </c>
      <c r="C14" s="32">
        <v>65.307106382978716</v>
      </c>
      <c r="D14" s="28">
        <f t="shared" si="0"/>
        <v>65307.106382978716</v>
      </c>
      <c r="E14" s="1" t="s">
        <v>26</v>
      </c>
      <c r="F14" s="29">
        <v>7.7244146290514308</v>
      </c>
      <c r="G14" s="101">
        <f t="shared" si="1"/>
        <v>-0.15645964821992334</v>
      </c>
      <c r="H14" s="79"/>
      <c r="J14" s="79"/>
      <c r="K14" s="99"/>
      <c r="N14" s="3">
        <v>0.99063454321699995</v>
      </c>
      <c r="O14" s="88">
        <v>66400</v>
      </c>
    </row>
    <row r="15" spans="1:15">
      <c r="A15" s="1" t="s">
        <v>34</v>
      </c>
      <c r="B15" s="1" t="s">
        <v>29</v>
      </c>
      <c r="C15" s="32">
        <v>65.342212765957441</v>
      </c>
      <c r="D15" s="28">
        <f t="shared" si="0"/>
        <v>65342.21276595744</v>
      </c>
      <c r="E15" s="1" t="s">
        <v>26</v>
      </c>
      <c r="F15" s="29">
        <v>8.1516699972690425</v>
      </c>
      <c r="G15" s="101">
        <f t="shared" si="1"/>
        <v>0.24635073675054001</v>
      </c>
      <c r="H15" s="79"/>
      <c r="J15" s="79"/>
      <c r="K15" s="99"/>
      <c r="N15" s="3">
        <v>0.227360860602</v>
      </c>
      <c r="O15" s="88">
        <v>66450</v>
      </c>
    </row>
    <row r="16" spans="1:15">
      <c r="A16" s="1" t="s">
        <v>34</v>
      </c>
      <c r="B16" s="1" t="s">
        <v>29</v>
      </c>
      <c r="C16" s="32">
        <v>65.359063829787232</v>
      </c>
      <c r="D16" s="28">
        <f t="shared" si="0"/>
        <v>65359.063829787228</v>
      </c>
      <c r="E16" s="1" t="s">
        <v>26</v>
      </c>
      <c r="F16" s="29">
        <v>8.9904201041817551</v>
      </c>
      <c r="G16" s="101">
        <f t="shared" si="1"/>
        <v>1.0371126056276281</v>
      </c>
      <c r="H16" s="79"/>
      <c r="J16" s="79"/>
      <c r="K16" s="99"/>
      <c r="N16" s="3">
        <v>1.17746006013</v>
      </c>
      <c r="O16" s="88">
        <v>66500</v>
      </c>
    </row>
    <row r="17" spans="1:11">
      <c r="A17" s="1" t="s">
        <v>34</v>
      </c>
      <c r="B17" s="1" t="s">
        <v>29</v>
      </c>
      <c r="C17" s="32">
        <v>65.376617021276601</v>
      </c>
      <c r="D17" s="28">
        <f t="shared" si="0"/>
        <v>65376.617021276601</v>
      </c>
      <c r="E17" s="1" t="s">
        <v>26</v>
      </c>
      <c r="F17" s="29">
        <v>8.0069525874448964</v>
      </c>
      <c r="G17" s="101">
        <f t="shared" si="1"/>
        <v>0.10991318698638532</v>
      </c>
      <c r="H17" s="79"/>
      <c r="J17" s="79"/>
      <c r="K17" s="99"/>
    </row>
    <row r="18" spans="1:11">
      <c r="A18" s="1" t="s">
        <v>34</v>
      </c>
      <c r="B18" s="1" t="s">
        <v>29</v>
      </c>
      <c r="C18" s="32">
        <v>65.38925531914893</v>
      </c>
      <c r="D18" s="28">
        <f t="shared" si="0"/>
        <v>65389.255319148928</v>
      </c>
      <c r="E18" s="1" t="s">
        <v>26</v>
      </c>
      <c r="F18" s="29">
        <v>9.1798750000000009</v>
      </c>
      <c r="G18" s="101">
        <f t="shared" si="1"/>
        <v>1.2157280314266032</v>
      </c>
      <c r="H18" s="79"/>
      <c r="J18" s="79"/>
      <c r="K18" s="99"/>
    </row>
    <row r="19" spans="1:11">
      <c r="A19" s="1" t="s">
        <v>34</v>
      </c>
      <c r="B19" s="1" t="s">
        <v>29</v>
      </c>
      <c r="C19" s="32">
        <v>65.412425531914892</v>
      </c>
      <c r="D19" s="28">
        <f t="shared" si="0"/>
        <v>65412.425531914894</v>
      </c>
      <c r="E19" s="1" t="s">
        <v>26</v>
      </c>
      <c r="F19" s="29">
        <v>7.2108227239241112</v>
      </c>
      <c r="G19" s="101">
        <f t="shared" si="1"/>
        <v>-0.64066691256652408</v>
      </c>
    </row>
    <row r="20" spans="1:11">
      <c r="A20" s="1" t="s">
        <v>34</v>
      </c>
      <c r="B20" s="1" t="s">
        <v>29</v>
      </c>
      <c r="C20" s="32">
        <v>65.446829787234037</v>
      </c>
      <c r="D20" s="28">
        <f t="shared" si="0"/>
        <v>65446.829787234034</v>
      </c>
      <c r="E20" s="1" t="s">
        <v>26</v>
      </c>
      <c r="F20" s="29">
        <v>7.6013955314518702</v>
      </c>
      <c r="G20" s="101">
        <f t="shared" si="1"/>
        <v>-0.27244033272137419</v>
      </c>
    </row>
    <row r="21" spans="1:11">
      <c r="A21" s="1" t="s">
        <v>34</v>
      </c>
      <c r="B21" s="1" t="s">
        <v>29</v>
      </c>
      <c r="C21" s="32">
        <v>65.45034042553192</v>
      </c>
      <c r="D21" s="28">
        <f t="shared" si="0"/>
        <v>65450.340425531918</v>
      </c>
      <c r="E21" s="1" t="s">
        <v>26</v>
      </c>
      <c r="F21" s="29">
        <v>8.1725241690160519</v>
      </c>
      <c r="G21" s="101">
        <f t="shared" si="1"/>
        <v>0.26601175817830253</v>
      </c>
    </row>
    <row r="22" spans="1:11">
      <c r="A22" s="1" t="s">
        <v>34</v>
      </c>
      <c r="B22" s="1" t="s">
        <v>29</v>
      </c>
      <c r="C22" s="32">
        <v>65.45034042553192</v>
      </c>
      <c r="D22" s="28">
        <f t="shared" si="0"/>
        <v>65450.340425531918</v>
      </c>
      <c r="E22" s="1" t="s">
        <v>26</v>
      </c>
      <c r="F22" s="29">
        <v>9.6216750000000033</v>
      </c>
      <c r="G22" s="101">
        <f t="shared" si="1"/>
        <v>1.6322508918001479</v>
      </c>
    </row>
    <row r="23" spans="1:11">
      <c r="A23" s="1" t="s">
        <v>34</v>
      </c>
      <c r="B23" s="1" t="s">
        <v>29</v>
      </c>
      <c r="C23" s="32">
        <v>65.51124999999999</v>
      </c>
      <c r="D23" s="28">
        <f t="shared" si="0"/>
        <v>65511.249999999993</v>
      </c>
      <c r="E23" s="1" t="s">
        <v>26</v>
      </c>
      <c r="F23" s="29">
        <v>7.4061757954599123</v>
      </c>
      <c r="G23" s="101">
        <f t="shared" si="1"/>
        <v>-0.45649076920108916</v>
      </c>
    </row>
    <row r="24" spans="1:11">
      <c r="A24" s="1" t="s">
        <v>34</v>
      </c>
      <c r="B24" s="1" t="s">
        <v>29</v>
      </c>
      <c r="C24" s="32">
        <v>65.51124999999999</v>
      </c>
      <c r="D24" s="28">
        <f t="shared" si="0"/>
        <v>65511.249999999993</v>
      </c>
      <c r="E24" s="1" t="s">
        <v>26</v>
      </c>
      <c r="F24" s="29">
        <v>7.4616360961326604</v>
      </c>
      <c r="G24" s="101">
        <f t="shared" si="1"/>
        <v>-0.40420357347137043</v>
      </c>
    </row>
    <row r="25" spans="1:11">
      <c r="A25" s="41" t="s">
        <v>32</v>
      </c>
      <c r="B25" s="41" t="s">
        <v>29</v>
      </c>
      <c r="C25" s="42">
        <v>66.067099999999996</v>
      </c>
      <c r="D25" s="28">
        <f t="shared" si="0"/>
        <v>66067.099999999991</v>
      </c>
      <c r="E25" s="41" t="s">
        <v>26</v>
      </c>
      <c r="F25" s="43">
        <v>6.32</v>
      </c>
      <c r="G25" s="101">
        <f t="shared" si="1"/>
        <v>-1.4805221164022442</v>
      </c>
    </row>
    <row r="26" spans="1:11">
      <c r="A26" s="41" t="s">
        <v>32</v>
      </c>
      <c r="B26" s="41" t="s">
        <v>29</v>
      </c>
      <c r="C26" s="42">
        <v>66.075900000000004</v>
      </c>
      <c r="D26" s="28">
        <f t="shared" si="0"/>
        <v>66075.900000000009</v>
      </c>
      <c r="E26" s="41" t="s">
        <v>26</v>
      </c>
      <c r="F26" s="43">
        <v>7.73</v>
      </c>
      <c r="G26" s="101">
        <f t="shared" si="1"/>
        <v>-0.1511938386143428</v>
      </c>
    </row>
    <row r="27" spans="1:11">
      <c r="A27" s="1" t="s">
        <v>34</v>
      </c>
      <c r="B27" s="1" t="s">
        <v>29</v>
      </c>
      <c r="C27" s="32">
        <v>66.242521158129179</v>
      </c>
      <c r="D27" s="28">
        <f t="shared" si="0"/>
        <v>66242.521158129181</v>
      </c>
      <c r="E27" s="1" t="s">
        <v>26</v>
      </c>
      <c r="F27" s="29">
        <v>10.019808000000001</v>
      </c>
      <c r="G27" s="101">
        <f t="shared" si="1"/>
        <v>2.0076051153608057</v>
      </c>
    </row>
    <row r="28" spans="1:11">
      <c r="A28" s="1" t="s">
        <v>34</v>
      </c>
      <c r="B28" s="1" t="s">
        <v>29</v>
      </c>
      <c r="C28" s="32">
        <v>66.259265033407573</v>
      </c>
      <c r="D28" s="28">
        <f t="shared" si="0"/>
        <v>66259.265033407573</v>
      </c>
      <c r="E28" s="1" t="s">
        <v>26</v>
      </c>
      <c r="F28" s="29">
        <v>9.1062119911406718</v>
      </c>
      <c r="G28" s="101">
        <f t="shared" si="1"/>
        <v>1.1462795770268537</v>
      </c>
    </row>
    <row r="29" spans="1:11">
      <c r="A29" s="1" t="s">
        <v>34</v>
      </c>
      <c r="B29" s="1" t="s">
        <v>29</v>
      </c>
      <c r="C29" s="32">
        <v>66.269630289532287</v>
      </c>
      <c r="D29" s="28">
        <f t="shared" si="0"/>
        <v>66269.630289532288</v>
      </c>
      <c r="E29" s="1" t="s">
        <v>26</v>
      </c>
      <c r="F29" s="29">
        <v>10.019808000000001</v>
      </c>
      <c r="G29" s="101">
        <f t="shared" si="1"/>
        <v>2.0076051153608057</v>
      </c>
    </row>
    <row r="30" spans="1:11">
      <c r="A30" s="1" t="s">
        <v>34</v>
      </c>
      <c r="B30" s="1" t="s">
        <v>29</v>
      </c>
      <c r="C30" s="32">
        <v>66.285576837416485</v>
      </c>
      <c r="D30" s="28">
        <f t="shared" si="0"/>
        <v>66285.576837416491</v>
      </c>
      <c r="E30" s="1" t="s">
        <v>26</v>
      </c>
      <c r="F30" s="29">
        <v>9.6216750000000033</v>
      </c>
      <c r="G30" s="101">
        <f t="shared" si="1"/>
        <v>1.6322508918001479</v>
      </c>
    </row>
    <row r="31" spans="1:11">
      <c r="A31" s="1" t="s">
        <v>34</v>
      </c>
      <c r="B31" s="1" t="s">
        <v>29</v>
      </c>
      <c r="C31" s="32">
        <v>66.300726057906459</v>
      </c>
      <c r="D31" s="28">
        <f t="shared" si="0"/>
        <v>66300.72605790646</v>
      </c>
      <c r="E31" s="1" t="s">
        <v>26</v>
      </c>
      <c r="F31" s="29">
        <v>7.093220250830055</v>
      </c>
      <c r="G31" s="101">
        <f t="shared" si="1"/>
        <v>-0.7515408792485947</v>
      </c>
    </row>
    <row r="32" spans="1:11">
      <c r="A32" s="41" t="s">
        <v>32</v>
      </c>
      <c r="B32" s="41" t="s">
        <v>29</v>
      </c>
      <c r="C32" s="42">
        <v>66.303899999999999</v>
      </c>
      <c r="D32" s="28">
        <f t="shared" si="0"/>
        <v>66303.899999999994</v>
      </c>
      <c r="E32" s="41" t="s">
        <v>26</v>
      </c>
      <c r="F32" s="43">
        <v>8.61</v>
      </c>
      <c r="G32" s="101">
        <f t="shared" si="1"/>
        <v>0.67845785248732515</v>
      </c>
    </row>
    <row r="33" spans="1:7">
      <c r="A33" s="1" t="s">
        <v>34</v>
      </c>
      <c r="B33" s="1" t="s">
        <v>29</v>
      </c>
      <c r="C33" s="32">
        <v>66.325443207126952</v>
      </c>
      <c r="D33" s="28">
        <f t="shared" si="0"/>
        <v>66325.443207126955</v>
      </c>
      <c r="E33" s="1" t="s">
        <v>26</v>
      </c>
      <c r="F33" s="29">
        <v>8.1220030000000012</v>
      </c>
      <c r="G33" s="101">
        <f t="shared" si="1"/>
        <v>0.21838110668898464</v>
      </c>
    </row>
    <row r="34" spans="1:7">
      <c r="A34" s="1" t="s">
        <v>34</v>
      </c>
      <c r="B34" s="1" t="s">
        <v>29</v>
      </c>
      <c r="C34" s="32">
        <v>66.325443207126952</v>
      </c>
      <c r="D34" s="28">
        <f t="shared" si="0"/>
        <v>66325.443207126955</v>
      </c>
      <c r="E34" s="1" t="s">
        <v>26</v>
      </c>
      <c r="F34" s="29">
        <v>7.6822430000000033</v>
      </c>
      <c r="G34" s="101">
        <f t="shared" si="1"/>
        <v>-0.19621847021882011</v>
      </c>
    </row>
    <row r="35" spans="1:7">
      <c r="A35" s="41" t="s">
        <v>32</v>
      </c>
      <c r="B35" s="41" t="s">
        <v>29</v>
      </c>
      <c r="C35" s="42">
        <v>66.336600000000004</v>
      </c>
      <c r="D35" s="28">
        <f t="shared" si="0"/>
        <v>66336.600000000006</v>
      </c>
      <c r="E35" s="41" t="s">
        <v>26</v>
      </c>
      <c r="F35" s="43">
        <v>6.85</v>
      </c>
      <c r="G35" s="101">
        <f t="shared" si="1"/>
        <v>-0.98084552971601235</v>
      </c>
    </row>
    <row r="36" spans="1:7">
      <c r="A36" s="1" t="s">
        <v>34</v>
      </c>
      <c r="B36" s="1" t="s">
        <v>29</v>
      </c>
      <c r="C36" s="32">
        <v>66.344579064587975</v>
      </c>
      <c r="D36" s="28">
        <f t="shared" si="0"/>
        <v>66344.579064587975</v>
      </c>
      <c r="E36" s="1" t="s">
        <v>26</v>
      </c>
      <c r="F36" s="29">
        <v>6.2331737662474573</v>
      </c>
      <c r="G36" s="101">
        <f t="shared" si="1"/>
        <v>-1.5623806751122282</v>
      </c>
    </row>
    <row r="37" spans="1:7">
      <c r="A37" s="1" t="s">
        <v>34</v>
      </c>
      <c r="B37" s="1" t="s">
        <v>29</v>
      </c>
      <c r="C37" s="32">
        <v>66.373282850779503</v>
      </c>
      <c r="D37" s="28">
        <f t="shared" si="0"/>
        <v>66373.282850779506</v>
      </c>
      <c r="E37" s="1" t="s">
        <v>26</v>
      </c>
      <c r="F37" s="29">
        <v>6.8483520000000011</v>
      </c>
      <c r="G37" s="101">
        <f t="shared" si="1"/>
        <v>-0.98239924106480137</v>
      </c>
    </row>
    <row r="38" spans="1:7">
      <c r="A38" s="1" t="s">
        <v>34</v>
      </c>
      <c r="B38" s="1" t="s">
        <v>29</v>
      </c>
      <c r="C38" s="32">
        <v>66.373282850779503</v>
      </c>
      <c r="D38" s="28">
        <f t="shared" si="0"/>
        <v>66373.282850779506</v>
      </c>
      <c r="E38" s="1" t="s">
        <v>26</v>
      </c>
      <c r="F38" s="29">
        <v>7.2430830000000013</v>
      </c>
      <c r="G38" s="101">
        <f t="shared" si="1"/>
        <v>-0.61025237551905942</v>
      </c>
    </row>
    <row r="39" spans="1:7">
      <c r="A39" s="1" t="s">
        <v>34</v>
      </c>
      <c r="B39" s="1" t="s">
        <v>29</v>
      </c>
      <c r="C39" s="32">
        <v>66.373282850779503</v>
      </c>
      <c r="D39" s="28">
        <f t="shared" si="0"/>
        <v>66373.282850779506</v>
      </c>
      <c r="E39" s="1" t="s">
        <v>26</v>
      </c>
      <c r="F39" s="29">
        <v>8.6505070000000028</v>
      </c>
      <c r="G39" s="101">
        <f t="shared" si="1"/>
        <v>0.71664728550034573</v>
      </c>
    </row>
    <row r="40" spans="1:7">
      <c r="A40" s="1" t="s">
        <v>34</v>
      </c>
      <c r="B40" s="1" t="s">
        <v>29</v>
      </c>
      <c r="C40" s="32">
        <v>66.380458797327393</v>
      </c>
      <c r="D40" s="28">
        <f t="shared" si="0"/>
        <v>66380.458797327388</v>
      </c>
      <c r="E40" s="1" t="s">
        <v>26</v>
      </c>
      <c r="F40" s="29">
        <v>5.5384954590873479</v>
      </c>
      <c r="G40" s="101">
        <f t="shared" si="1"/>
        <v>-2.2173136663702162</v>
      </c>
    </row>
    <row r="41" spans="1:7">
      <c r="A41" s="41" t="s">
        <v>32</v>
      </c>
      <c r="B41" s="41" t="s">
        <v>29</v>
      </c>
      <c r="C41" s="42">
        <v>66.389200000000002</v>
      </c>
      <c r="D41" s="28">
        <f t="shared" si="0"/>
        <v>66389.2</v>
      </c>
      <c r="E41" s="41" t="s">
        <v>26</v>
      </c>
      <c r="F41" s="43">
        <v>7.64</v>
      </c>
      <c r="G41" s="101">
        <f t="shared" si="1"/>
        <v>-0.23604457974974144</v>
      </c>
    </row>
    <row r="42" spans="1:7">
      <c r="A42" s="1" t="s">
        <v>34</v>
      </c>
      <c r="B42" s="1" t="s">
        <v>29</v>
      </c>
      <c r="C42" s="32">
        <v>66.417783675513263</v>
      </c>
      <c r="D42" s="28">
        <f t="shared" si="0"/>
        <v>66417.783675513259</v>
      </c>
      <c r="E42" s="1" t="s">
        <v>26</v>
      </c>
      <c r="F42" s="29">
        <v>6.5032980547202222</v>
      </c>
      <c r="G42" s="101">
        <f t="shared" si="1"/>
        <v>-1.3077112742723824</v>
      </c>
    </row>
    <row r="43" spans="1:7">
      <c r="A43" s="1" t="s">
        <v>34</v>
      </c>
      <c r="B43" s="1" t="s">
        <v>29</v>
      </c>
      <c r="C43" s="32">
        <v>66.429088632949416</v>
      </c>
      <c r="D43" s="28">
        <f t="shared" si="0"/>
        <v>66429.08863294941</v>
      </c>
      <c r="E43" s="1" t="s">
        <v>26</v>
      </c>
      <c r="F43" s="29">
        <v>6.7168830000000046</v>
      </c>
      <c r="G43" s="101">
        <f t="shared" si="1"/>
        <v>-1.1063463753573495</v>
      </c>
    </row>
    <row r="44" spans="1:7">
      <c r="A44" s="1" t="s">
        <v>34</v>
      </c>
      <c r="B44" s="1" t="s">
        <v>29</v>
      </c>
      <c r="C44" s="32">
        <v>66.429088632949416</v>
      </c>
      <c r="D44" s="28">
        <f t="shared" si="0"/>
        <v>66429.08863294941</v>
      </c>
      <c r="E44" s="1" t="s">
        <v>26</v>
      </c>
      <c r="F44" s="29">
        <v>6.8483520000000011</v>
      </c>
      <c r="G44" s="101">
        <f t="shared" si="1"/>
        <v>-0.98239924106480137</v>
      </c>
    </row>
    <row r="45" spans="1:7">
      <c r="A45" s="1" t="s">
        <v>34</v>
      </c>
      <c r="B45" s="1" t="s">
        <v>29</v>
      </c>
      <c r="C45" s="32">
        <v>66.429088632949416</v>
      </c>
      <c r="D45" s="28">
        <f t="shared" si="0"/>
        <v>66429.08863294941</v>
      </c>
      <c r="E45" s="1" t="s">
        <v>26</v>
      </c>
      <c r="F45" s="29">
        <v>7.199200000000002</v>
      </c>
      <c r="G45" s="101">
        <f t="shared" si="1"/>
        <v>-0.65162465411066606</v>
      </c>
    </row>
    <row r="46" spans="1:7">
      <c r="A46" s="1" t="s">
        <v>34</v>
      </c>
      <c r="B46" s="1" t="s">
        <v>29</v>
      </c>
      <c r="C46" s="32">
        <v>66.484906860290437</v>
      </c>
      <c r="D46" s="28">
        <f t="shared" si="0"/>
        <v>66484.90686029043</v>
      </c>
      <c r="E46" s="1" t="s">
        <v>26</v>
      </c>
      <c r="F46" s="29">
        <v>5.2721690086850428</v>
      </c>
      <c r="G46" s="101">
        <f t="shared" si="1"/>
        <v>-2.4684025185990537</v>
      </c>
    </row>
    <row r="47" spans="1:7">
      <c r="A47" s="41" t="s">
        <v>32</v>
      </c>
      <c r="B47" s="41" t="s">
        <v>29</v>
      </c>
      <c r="C47" s="42">
        <v>66.488399999999999</v>
      </c>
      <c r="D47" s="28">
        <f t="shared" si="0"/>
        <v>66488.399999999994</v>
      </c>
      <c r="E47" s="41" t="s">
        <v>26</v>
      </c>
      <c r="F47" s="43">
        <v>7.77</v>
      </c>
      <c r="G47" s="101">
        <f t="shared" si="1"/>
        <v>-0.11348239810972229</v>
      </c>
    </row>
    <row r="48" spans="1:7">
      <c r="D48" s="45"/>
      <c r="F48" s="1">
        <f>AVERAGE(F2:F47)</f>
        <v>7.8903692003381334</v>
      </c>
    </row>
    <row r="49" spans="4:6">
      <c r="D49" s="45"/>
      <c r="F49" s="1">
        <f>STDEV(F2:F47)</f>
        <v>1.0606860801001556</v>
      </c>
    </row>
    <row r="50" spans="4:6">
      <c r="D50" s="45"/>
    </row>
    <row r="51" spans="4:6">
      <c r="D51" s="45"/>
    </row>
    <row r="52" spans="4:6">
      <c r="D52" s="45"/>
    </row>
    <row r="53" spans="4:6">
      <c r="D53" s="45"/>
    </row>
    <row r="54" spans="4:6">
      <c r="D54" s="45"/>
    </row>
    <row r="55" spans="4:6">
      <c r="D55" s="45"/>
    </row>
    <row r="56" spans="4:6">
      <c r="D56" s="45"/>
    </row>
    <row r="57" spans="4:6">
      <c r="D57" s="45"/>
    </row>
    <row r="58" spans="4:6">
      <c r="D58" s="45"/>
    </row>
    <row r="59" spans="4:6">
      <c r="D59" s="33"/>
    </row>
    <row r="60" spans="4:6">
      <c r="D60" s="33"/>
    </row>
    <row r="61" spans="4:6">
      <c r="D61" s="33"/>
    </row>
    <row r="62" spans="4:6">
      <c r="D62" s="33"/>
    </row>
    <row r="63" spans="4:6">
      <c r="D63" s="33"/>
    </row>
    <row r="64" spans="4:6">
      <c r="D64" s="33"/>
    </row>
    <row r="65" spans="4:4">
      <c r="D65" s="33"/>
    </row>
    <row r="66" spans="4:4">
      <c r="D66" s="33"/>
    </row>
    <row r="67" spans="4:4">
      <c r="D67" s="33"/>
    </row>
    <row r="68" spans="4:4">
      <c r="D68" s="33"/>
    </row>
    <row r="69" spans="4:4">
      <c r="D69" s="33"/>
    </row>
    <row r="70" spans="4:4">
      <c r="D70" s="33"/>
    </row>
    <row r="71" spans="4:4">
      <c r="D71" s="33"/>
    </row>
    <row r="72" spans="4:4">
      <c r="D72" s="33"/>
    </row>
    <row r="73" spans="4:4">
      <c r="D73" s="33"/>
    </row>
    <row r="74" spans="4:4">
      <c r="D74" s="33"/>
    </row>
    <row r="75" spans="4:4">
      <c r="D75" s="33"/>
    </row>
    <row r="76" spans="4:4">
      <c r="D76" s="33"/>
    </row>
    <row r="77" spans="4:4">
      <c r="D77" s="33"/>
    </row>
    <row r="78" spans="4:4">
      <c r="D78" s="33"/>
    </row>
    <row r="79" spans="4:4">
      <c r="D79" s="33"/>
    </row>
    <row r="80" spans="4:4">
      <c r="D80" s="33"/>
    </row>
    <row r="81" spans="4:4">
      <c r="D81" s="33"/>
    </row>
    <row r="82" spans="4:4">
      <c r="D82" s="33"/>
    </row>
    <row r="83" spans="4:4">
      <c r="D83" s="33"/>
    </row>
    <row r="84" spans="4:4">
      <c r="D84" s="33"/>
    </row>
    <row r="85" spans="4:4">
      <c r="D85" s="33"/>
    </row>
    <row r="86" spans="4:4">
      <c r="D86" s="33"/>
    </row>
    <row r="87" spans="4:4">
      <c r="D87" s="33"/>
    </row>
    <row r="88" spans="4:4">
      <c r="D88" s="33"/>
    </row>
    <row r="89" spans="4:4">
      <c r="D89" s="33"/>
    </row>
    <row r="90" spans="4:4">
      <c r="D90" s="33"/>
    </row>
    <row r="91" spans="4:4">
      <c r="D91" s="33"/>
    </row>
    <row r="92" spans="4:4">
      <c r="D92" s="33"/>
    </row>
    <row r="93" spans="4:4">
      <c r="D93" s="33"/>
    </row>
    <row r="94" spans="4:4">
      <c r="D94" s="33"/>
    </row>
    <row r="95" spans="4:4">
      <c r="D95" s="33"/>
    </row>
    <row r="96" spans="4:4">
      <c r="D96" s="33"/>
    </row>
    <row r="97" spans="4:4">
      <c r="D97" s="33"/>
    </row>
    <row r="98" spans="4:4">
      <c r="D98" s="33"/>
    </row>
    <row r="99" spans="4:4">
      <c r="D99" s="33"/>
    </row>
    <row r="100" spans="4:4">
      <c r="D100" s="33"/>
    </row>
    <row r="101" spans="4:4">
      <c r="D101" s="33"/>
    </row>
    <row r="102" spans="4:4">
      <c r="D102" s="33"/>
    </row>
    <row r="103" spans="4:4">
      <c r="D103" s="33"/>
    </row>
    <row r="104" spans="4:4">
      <c r="D104" s="33"/>
    </row>
    <row r="105" spans="4:4">
      <c r="D105" s="33"/>
    </row>
    <row r="106" spans="4:4">
      <c r="D106" s="33"/>
    </row>
    <row r="107" spans="4:4">
      <c r="D107" s="33"/>
    </row>
    <row r="108" spans="4:4">
      <c r="D108" s="33"/>
    </row>
    <row r="109" spans="4:4">
      <c r="D109" s="33"/>
    </row>
    <row r="110" spans="4:4">
      <c r="D110" s="33"/>
    </row>
    <row r="111" spans="4:4">
      <c r="D111" s="33"/>
    </row>
    <row r="112" spans="4:4">
      <c r="D112" s="33"/>
    </row>
    <row r="113" spans="4:4">
      <c r="D113" s="33"/>
    </row>
    <row r="114" spans="4:4">
      <c r="D114" s="33"/>
    </row>
    <row r="115" spans="4:4">
      <c r="D115" s="33"/>
    </row>
    <row r="116" spans="4:4">
      <c r="D116" s="33"/>
    </row>
    <row r="117" spans="4:4">
      <c r="D117" s="33"/>
    </row>
    <row r="118" spans="4:4">
      <c r="D118" s="33"/>
    </row>
    <row r="119" spans="4:4">
      <c r="D119" s="33"/>
    </row>
    <row r="120" spans="4:4">
      <c r="D120" s="33"/>
    </row>
    <row r="121" spans="4:4">
      <c r="D121" s="33"/>
    </row>
    <row r="122" spans="4:4">
      <c r="D122" s="33"/>
    </row>
    <row r="123" spans="4:4">
      <c r="D123" s="33"/>
    </row>
    <row r="124" spans="4:4">
      <c r="D124" s="33"/>
    </row>
    <row r="125" spans="4:4">
      <c r="D125" s="33"/>
    </row>
    <row r="126" spans="4:4">
      <c r="D126" s="33"/>
    </row>
    <row r="127" spans="4:4">
      <c r="D127" s="33"/>
    </row>
    <row r="128" spans="4:4">
      <c r="D128" s="33"/>
    </row>
    <row r="129" spans="4:4">
      <c r="D129" s="33"/>
    </row>
    <row r="130" spans="4:4">
      <c r="D130" s="33"/>
    </row>
    <row r="131" spans="4:4">
      <c r="D131" s="33"/>
    </row>
    <row r="132" spans="4:4">
      <c r="D132" s="33"/>
    </row>
    <row r="133" spans="4:4">
      <c r="D133" s="33"/>
    </row>
    <row r="134" spans="4:4">
      <c r="D134" s="33"/>
    </row>
    <row r="135" spans="4:4">
      <c r="D135" s="33"/>
    </row>
    <row r="136" spans="4:4">
      <c r="D136" s="33"/>
    </row>
    <row r="137" spans="4:4">
      <c r="D137" s="33"/>
    </row>
    <row r="138" spans="4:4">
      <c r="D138" s="33"/>
    </row>
    <row r="139" spans="4:4">
      <c r="D139" s="33"/>
    </row>
    <row r="140" spans="4:4">
      <c r="D140" s="33"/>
    </row>
    <row r="141" spans="4:4">
      <c r="D141" s="33"/>
    </row>
    <row r="142" spans="4:4">
      <c r="D142" s="33"/>
    </row>
    <row r="143" spans="4:4">
      <c r="D143" s="33"/>
    </row>
    <row r="144" spans="4:4">
      <c r="D144" s="33"/>
    </row>
    <row r="145" spans="4:4">
      <c r="D145" s="33"/>
    </row>
    <row r="146" spans="4:4">
      <c r="D146" s="33"/>
    </row>
    <row r="147" spans="4:4">
      <c r="D147" s="33"/>
    </row>
    <row r="148" spans="4:4">
      <c r="D148" s="33"/>
    </row>
    <row r="149" spans="4:4">
      <c r="D149" s="33"/>
    </row>
    <row r="150" spans="4:4">
      <c r="D150" s="33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1"/>
    </row>
    <row r="230" spans="4:4">
      <c r="D230" s="31"/>
    </row>
    <row r="231" spans="4:4">
      <c r="D231" s="31"/>
    </row>
    <row r="232" spans="4:4">
      <c r="D232" s="31"/>
    </row>
    <row r="233" spans="4:4">
      <c r="D233" s="31"/>
    </row>
    <row r="234" spans="4:4">
      <c r="D234" s="31"/>
    </row>
    <row r="235" spans="4:4">
      <c r="D235" s="31"/>
    </row>
    <row r="236" spans="4:4">
      <c r="D236" s="31"/>
    </row>
    <row r="237" spans="4:4">
      <c r="D237" s="31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1"/>
    </row>
    <row r="245" spans="4:4">
      <c r="D245" s="31"/>
    </row>
    <row r="246" spans="4:4">
      <c r="D246" s="31"/>
    </row>
    <row r="247" spans="4:4">
      <c r="D247" s="31"/>
    </row>
    <row r="248" spans="4:4">
      <c r="D248" s="31"/>
    </row>
    <row r="249" spans="4:4">
      <c r="D249" s="31"/>
    </row>
    <row r="250" spans="4:4">
      <c r="D250" s="31"/>
    </row>
    <row r="251" spans="4:4">
      <c r="D251" s="31"/>
    </row>
    <row r="252" spans="4:4">
      <c r="D252" s="31"/>
    </row>
    <row r="253" spans="4:4">
      <c r="D253" s="31"/>
    </row>
    <row r="254" spans="4:4">
      <c r="D254" s="31"/>
    </row>
    <row r="255" spans="4:4">
      <c r="D255" s="31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1"/>
    </row>
    <row r="317" spans="4:4">
      <c r="D317" s="31"/>
    </row>
    <row r="318" spans="4:4">
      <c r="D318" s="31"/>
    </row>
    <row r="319" spans="4:4">
      <c r="D319" s="31"/>
    </row>
    <row r="320" spans="4:4">
      <c r="D320" s="31"/>
    </row>
    <row r="321" spans="4:4">
      <c r="D321" s="31"/>
    </row>
    <row r="322" spans="4:4">
      <c r="D32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3"/>
    </row>
    <row r="399" spans="4:4">
      <c r="D399" s="33"/>
    </row>
    <row r="400" spans="4:4">
      <c r="D400" s="33"/>
    </row>
    <row r="401" spans="4:4">
      <c r="D401" s="33"/>
    </row>
    <row r="402" spans="4:4">
      <c r="D402" s="33"/>
    </row>
    <row r="403" spans="4:4">
      <c r="D403" s="33"/>
    </row>
    <row r="404" spans="4:4">
      <c r="D404" s="33"/>
    </row>
    <row r="405" spans="4:4">
      <c r="D405" s="33"/>
    </row>
    <row r="406" spans="4:4">
      <c r="D406" s="33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3"/>
    </row>
    <row r="486" spans="4:4">
      <c r="D486" s="33"/>
    </row>
    <row r="487" spans="4:4">
      <c r="D487" s="33"/>
    </row>
    <row r="488" spans="4:4">
      <c r="D488" s="33"/>
    </row>
    <row r="489" spans="4:4">
      <c r="D489" s="33"/>
    </row>
    <row r="490" spans="4:4">
      <c r="D490" s="33"/>
    </row>
    <row r="491" spans="4:4">
      <c r="D491" s="33"/>
    </row>
    <row r="492" spans="4:4">
      <c r="D492" s="33"/>
    </row>
    <row r="493" spans="4:4">
      <c r="D493" s="33"/>
    </row>
    <row r="494" spans="4:4">
      <c r="D494" s="33"/>
    </row>
    <row r="495" spans="4:4">
      <c r="D495" s="33"/>
    </row>
    <row r="496" spans="4:4">
      <c r="D496" s="33"/>
    </row>
    <row r="497" spans="4:4">
      <c r="D497" s="33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7" spans="4:4">
      <c r="D797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2" spans="4:4">
      <c r="D882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19" spans="4:4">
      <c r="D919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7" spans="4:4">
      <c r="D927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3" spans="4:4">
      <c r="D983" s="31"/>
    </row>
    <row r="984" spans="4:4">
      <c r="D984" s="31"/>
    </row>
    <row r="985" spans="4:4">
      <c r="D985" s="31"/>
    </row>
    <row r="986" spans="4:4">
      <c r="D986" s="31"/>
    </row>
    <row r="987" spans="4:4">
      <c r="D987" s="31"/>
    </row>
    <row r="988" spans="4:4">
      <c r="D988" s="31"/>
    </row>
    <row r="989" spans="4:4">
      <c r="D989" s="31"/>
    </row>
    <row r="990" spans="4:4">
      <c r="D990" s="31"/>
    </row>
    <row r="991" spans="4:4">
      <c r="D991" s="31"/>
    </row>
    <row r="992" spans="4:4">
      <c r="D992" s="31"/>
    </row>
    <row r="993" spans="4:4">
      <c r="D993" s="31"/>
    </row>
    <row r="994" spans="4:4">
      <c r="D994" s="31"/>
    </row>
    <row r="995" spans="4:4">
      <c r="D995" s="31"/>
    </row>
    <row r="996" spans="4:4">
      <c r="D996" s="31"/>
    </row>
    <row r="997" spans="4:4">
      <c r="D997" s="31"/>
    </row>
    <row r="998" spans="4:4">
      <c r="D998" s="31"/>
    </row>
    <row r="999" spans="4:4">
      <c r="D999" s="31"/>
    </row>
    <row r="1000" spans="4:4">
      <c r="D1000" s="31"/>
    </row>
    <row r="1001" spans="4:4">
      <c r="D1001" s="31"/>
    </row>
    <row r="1002" spans="4:4">
      <c r="D1002" s="31"/>
    </row>
    <row r="1003" spans="4:4">
      <c r="D1003" s="31"/>
    </row>
    <row r="1004" spans="4:4">
      <c r="D1004" s="31"/>
    </row>
    <row r="1005" spans="4:4">
      <c r="D1005" s="31"/>
    </row>
    <row r="1006" spans="4:4">
      <c r="D1006" s="31"/>
    </row>
    <row r="1007" spans="4:4">
      <c r="D1007" s="31"/>
    </row>
    <row r="1008" spans="4:4">
      <c r="D1008" s="31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69" spans="4:4">
      <c r="D1069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3" spans="4:4">
      <c r="D1153" s="39"/>
    </row>
    <row r="1154" spans="4:4">
      <c r="D1154" s="39"/>
    </row>
    <row r="1155" spans="4:4">
      <c r="D1155" s="39"/>
    </row>
    <row r="1156" spans="4:4">
      <c r="D1156" s="39"/>
    </row>
    <row r="1157" spans="4:4">
      <c r="D1157" s="39"/>
    </row>
    <row r="1158" spans="4:4">
      <c r="D1158" s="39"/>
    </row>
    <row r="1159" spans="4:4">
      <c r="D1159" s="39"/>
    </row>
    <row r="1160" spans="4:4">
      <c r="D1160" s="39"/>
    </row>
    <row r="1161" spans="4:4">
      <c r="D1161" s="39"/>
    </row>
    <row r="1162" spans="4:4">
      <c r="D1162" s="39"/>
    </row>
    <row r="1163" spans="4:4">
      <c r="D1163" s="39"/>
    </row>
    <row r="1164" spans="4:4">
      <c r="D1164" s="39"/>
    </row>
    <row r="1165" spans="4:4">
      <c r="D1165" s="39"/>
    </row>
    <row r="1166" spans="4:4">
      <c r="D1166" s="39"/>
    </row>
    <row r="1167" spans="4:4">
      <c r="D1167" s="39"/>
    </row>
    <row r="1168" spans="4:4">
      <c r="D1168" s="39"/>
    </row>
    <row r="1169" spans="4:4">
      <c r="D1169" s="39"/>
    </row>
    <row r="1170" spans="4:4">
      <c r="D1170" s="39"/>
    </row>
    <row r="1171" spans="4:4">
      <c r="D1171" s="39"/>
    </row>
    <row r="1172" spans="4:4">
      <c r="D1172" s="39"/>
    </row>
    <row r="1173" spans="4:4">
      <c r="D1173" s="39"/>
    </row>
    <row r="1174" spans="4:4">
      <c r="D1174" s="39"/>
    </row>
    <row r="1175" spans="4:4">
      <c r="D1175" s="39"/>
    </row>
    <row r="1176" spans="4:4">
      <c r="D1176" s="39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39" spans="4:4">
      <c r="D1339" s="31"/>
    </row>
    <row r="1340" spans="4:4">
      <c r="D1340" s="31"/>
    </row>
    <row r="1341" spans="4:4">
      <c r="D1341" s="31"/>
    </row>
    <row r="1342" spans="4:4">
      <c r="D1342" s="31"/>
    </row>
    <row r="1343" spans="4:4">
      <c r="D1343" s="31"/>
    </row>
    <row r="1344" spans="4:4">
      <c r="D1344" s="31"/>
    </row>
    <row r="1345" spans="4:4">
      <c r="D1345" s="31"/>
    </row>
    <row r="1346" spans="4:4">
      <c r="D1346" s="31"/>
    </row>
    <row r="1347" spans="4:4">
      <c r="D1347" s="31"/>
    </row>
    <row r="1348" spans="4:4">
      <c r="D1348" s="31"/>
    </row>
    <row r="1349" spans="4:4">
      <c r="D1349" s="31"/>
    </row>
    <row r="1350" spans="4:4">
      <c r="D1350" s="31"/>
    </row>
    <row r="1351" spans="4:4">
      <c r="D1351" s="31"/>
    </row>
    <row r="1352" spans="4:4">
      <c r="D1352" s="31"/>
    </row>
    <row r="1353" spans="4:4">
      <c r="D1353" s="31"/>
    </row>
    <row r="1354" spans="4:4">
      <c r="D1354" s="31"/>
    </row>
    <row r="1355" spans="4:4">
      <c r="D1355" s="31"/>
    </row>
    <row r="1356" spans="4:4">
      <c r="D1356" s="31"/>
    </row>
    <row r="1357" spans="4:4">
      <c r="D1357" s="31"/>
    </row>
    <row r="1358" spans="4:4">
      <c r="D1358" s="31"/>
    </row>
    <row r="1359" spans="4:4">
      <c r="D1359" s="31"/>
    </row>
    <row r="1360" spans="4:4">
      <c r="D1360" s="31"/>
    </row>
    <row r="1361" spans="4:4">
      <c r="D1361" s="31"/>
    </row>
    <row r="1362" spans="4:4">
      <c r="D1362" s="31"/>
    </row>
    <row r="1363" spans="4:4">
      <c r="D1363" s="31"/>
    </row>
    <row r="1364" spans="4:4">
      <c r="D1364" s="31"/>
    </row>
    <row r="1365" spans="4:4">
      <c r="D1365" s="31"/>
    </row>
    <row r="1366" spans="4:4">
      <c r="D1366" s="31"/>
    </row>
    <row r="1367" spans="4:4">
      <c r="D1367" s="31"/>
    </row>
    <row r="1368" spans="4:4">
      <c r="D1368" s="31"/>
    </row>
    <row r="1369" spans="4:4">
      <c r="D1369" s="31"/>
    </row>
    <row r="1370" spans="4:4">
      <c r="D1370" s="31"/>
    </row>
    <row r="1371" spans="4:4">
      <c r="D1371" s="31"/>
    </row>
    <row r="1372" spans="4:4">
      <c r="D1372" s="31"/>
    </row>
    <row r="1373" spans="4:4">
      <c r="D1373" s="31"/>
    </row>
    <row r="1374" spans="4:4">
      <c r="D1374" s="31"/>
    </row>
    <row r="1375" spans="4:4">
      <c r="D1375" s="31"/>
    </row>
    <row r="1376" spans="4:4">
      <c r="D1376" s="31"/>
    </row>
    <row r="1377" spans="4:4">
      <c r="D1377" s="31"/>
    </row>
    <row r="1378" spans="4:4">
      <c r="D1378" s="31"/>
    </row>
    <row r="1379" spans="4:4">
      <c r="D1379" s="31"/>
    </row>
    <row r="1380" spans="4:4">
      <c r="D1380" s="31"/>
    </row>
    <row r="1381" spans="4:4">
      <c r="D1381" s="31"/>
    </row>
    <row r="1382" spans="4:4">
      <c r="D1382" s="31"/>
    </row>
    <row r="1383" spans="4:4">
      <c r="D1383" s="31"/>
    </row>
    <row r="1384" spans="4:4">
      <c r="D1384" s="31"/>
    </row>
    <row r="1385" spans="4:4">
      <c r="D1385" s="31"/>
    </row>
    <row r="1386" spans="4:4">
      <c r="D1386" s="31"/>
    </row>
    <row r="1387" spans="4:4">
      <c r="D1387" s="31"/>
    </row>
    <row r="1388" spans="4:4">
      <c r="D1388" s="31"/>
    </row>
    <row r="1389" spans="4:4">
      <c r="D1389" s="31"/>
    </row>
    <row r="1390" spans="4:4">
      <c r="D1390" s="31"/>
    </row>
    <row r="1391" spans="4:4">
      <c r="D1391" s="31"/>
    </row>
    <row r="1392" spans="4:4">
      <c r="D1392" s="31"/>
    </row>
    <row r="1393" spans="4:4">
      <c r="D1393" s="31"/>
    </row>
    <row r="1394" spans="4:4">
      <c r="D1394" s="31"/>
    </row>
    <row r="1395" spans="4:4">
      <c r="D1395" s="31"/>
    </row>
    <row r="1396" spans="4:4">
      <c r="D1396" s="31"/>
    </row>
    <row r="1397" spans="4:4">
      <c r="D1397" s="31"/>
    </row>
    <row r="1398" spans="4:4">
      <c r="D1398" s="31"/>
    </row>
    <row r="1399" spans="4:4">
      <c r="D1399" s="31"/>
    </row>
    <row r="1400" spans="4:4">
      <c r="D1400" s="31"/>
    </row>
    <row r="1401" spans="4:4">
      <c r="D1401" s="31"/>
    </row>
    <row r="1402" spans="4:4">
      <c r="D1402" s="31"/>
    </row>
    <row r="1403" spans="4:4">
      <c r="D1403" s="31"/>
    </row>
    <row r="1404" spans="4:4">
      <c r="D1404" s="31"/>
    </row>
    <row r="1405" spans="4:4">
      <c r="D1405" s="31"/>
    </row>
    <row r="1406" spans="4:4">
      <c r="D1406" s="31"/>
    </row>
    <row r="1407" spans="4:4">
      <c r="D1407" s="31"/>
    </row>
    <row r="1408" spans="4:4">
      <c r="D1408" s="31"/>
    </row>
    <row r="1409" spans="4:4">
      <c r="D1409" s="31"/>
    </row>
    <row r="1410" spans="4:4">
      <c r="D1410" s="31"/>
    </row>
    <row r="1411" spans="4:4">
      <c r="D1411" s="31"/>
    </row>
    <row r="1412" spans="4:4">
      <c r="D1412" s="31"/>
    </row>
    <row r="1413" spans="4:4">
      <c r="D1413" s="31"/>
    </row>
    <row r="1414" spans="4:4">
      <c r="D1414" s="31"/>
    </row>
    <row r="1415" spans="4:4">
      <c r="D1415" s="31"/>
    </row>
    <row r="1416" spans="4:4">
      <c r="D1416" s="31"/>
    </row>
    <row r="1417" spans="4:4">
      <c r="D1417" s="31"/>
    </row>
    <row r="1418" spans="4:4">
      <c r="D1418" s="31"/>
    </row>
    <row r="1419" spans="4:4">
      <c r="D1419" s="31"/>
    </row>
    <row r="1420" spans="4:4">
      <c r="D1420" s="31"/>
    </row>
    <row r="1421" spans="4:4">
      <c r="D1421" s="31"/>
    </row>
    <row r="1422" spans="4:4">
      <c r="D1422" s="31"/>
    </row>
    <row r="1423" spans="4:4">
      <c r="D1423" s="31"/>
    </row>
    <row r="1424" spans="4:4">
      <c r="D1424" s="31"/>
    </row>
    <row r="1425" spans="4:4">
      <c r="D1425" s="31"/>
    </row>
    <row r="1426" spans="4:4">
      <c r="D1426" s="31"/>
    </row>
    <row r="1427" spans="4:4">
      <c r="D1427" s="31"/>
    </row>
    <row r="1428" spans="4:4">
      <c r="D1428" s="31"/>
    </row>
    <row r="1429" spans="4:4">
      <c r="D1429" s="31"/>
    </row>
    <row r="1430" spans="4:4">
      <c r="D1430" s="31"/>
    </row>
    <row r="1431" spans="4:4">
      <c r="D1431" s="31"/>
    </row>
    <row r="1432" spans="4:4">
      <c r="D1432" s="31"/>
    </row>
    <row r="1433" spans="4:4">
      <c r="D1433" s="31"/>
    </row>
    <row r="1434" spans="4:4">
      <c r="D1434" s="31"/>
    </row>
    <row r="1435" spans="4:4">
      <c r="D1435" s="31"/>
    </row>
    <row r="1436" spans="4:4">
      <c r="D1436" s="31"/>
    </row>
    <row r="1437" spans="4:4">
      <c r="D1437" s="31"/>
    </row>
    <row r="1438" spans="4:4">
      <c r="D1438" s="31"/>
    </row>
    <row r="1439" spans="4:4">
      <c r="D1439" s="31"/>
    </row>
    <row r="1440" spans="4:4">
      <c r="D1440" s="31"/>
    </row>
    <row r="1441" spans="4:4">
      <c r="D1441" s="31"/>
    </row>
    <row r="1442" spans="4:4">
      <c r="D1442" s="31"/>
    </row>
    <row r="1443" spans="4:4">
      <c r="D1443" s="31"/>
    </row>
    <row r="1444" spans="4:4">
      <c r="D1444" s="31"/>
    </row>
    <row r="1445" spans="4:4">
      <c r="D1445" s="31"/>
    </row>
    <row r="1446" spans="4:4">
      <c r="D1446" s="31"/>
    </row>
    <row r="1447" spans="4:4">
      <c r="D1447" s="31"/>
    </row>
    <row r="1448" spans="4:4">
      <c r="D1448" s="31"/>
    </row>
    <row r="1449" spans="4:4">
      <c r="D1449" s="31"/>
    </row>
    <row r="1450" spans="4:4">
      <c r="D1450" s="31"/>
    </row>
    <row r="1451" spans="4:4">
      <c r="D1451" s="31"/>
    </row>
    <row r="1452" spans="4:4">
      <c r="D1452" s="31"/>
    </row>
    <row r="1453" spans="4:4">
      <c r="D1453" s="31"/>
    </row>
    <row r="1454" spans="4:4">
      <c r="D1454" s="31"/>
    </row>
    <row r="1455" spans="4:4">
      <c r="D1455" s="31"/>
    </row>
    <row r="1456" spans="4:4">
      <c r="D1456" s="31"/>
    </row>
    <row r="1457" spans="4:4">
      <c r="D1457" s="31"/>
    </row>
    <row r="1458" spans="4:4">
      <c r="D1458" s="31"/>
    </row>
    <row r="1459" spans="4:4">
      <c r="D1459" s="31"/>
    </row>
    <row r="1460" spans="4:4">
      <c r="D1460" s="31"/>
    </row>
    <row r="1461" spans="4:4">
      <c r="D1461" s="31"/>
    </row>
    <row r="1462" spans="4:4">
      <c r="D1462" s="31"/>
    </row>
    <row r="1463" spans="4:4">
      <c r="D1463" s="31"/>
    </row>
    <row r="1464" spans="4:4">
      <c r="D1464" s="31"/>
    </row>
    <row r="1465" spans="4:4">
      <c r="D1465" s="31"/>
    </row>
    <row r="1466" spans="4:4">
      <c r="D1466" s="31"/>
    </row>
    <row r="1467" spans="4:4">
      <c r="D1467" s="31"/>
    </row>
    <row r="1468" spans="4:4">
      <c r="D1468" s="31"/>
    </row>
    <row r="1469" spans="4:4">
      <c r="D1469" s="31"/>
    </row>
    <row r="1470" spans="4:4">
      <c r="D1470" s="31"/>
    </row>
    <row r="1471" spans="4:4">
      <c r="D1471" s="31"/>
    </row>
    <row r="1472" spans="4:4">
      <c r="D1472" s="31"/>
    </row>
    <row r="1473" spans="4:4">
      <c r="D1473" s="31"/>
    </row>
    <row r="1474" spans="4:4">
      <c r="D1474" s="31"/>
    </row>
    <row r="1475" spans="4:4">
      <c r="D1475" s="31"/>
    </row>
    <row r="1476" spans="4:4">
      <c r="D1476" s="31"/>
    </row>
    <row r="1477" spans="4:4">
      <c r="D1477" s="31"/>
    </row>
    <row r="1478" spans="4:4">
      <c r="D1478" s="31"/>
    </row>
    <row r="1479" spans="4:4">
      <c r="D1479" s="31"/>
    </row>
    <row r="1480" spans="4:4">
      <c r="D1480" s="31"/>
    </row>
    <row r="1481" spans="4:4">
      <c r="D1481" s="31"/>
    </row>
    <row r="1482" spans="4:4">
      <c r="D1482" s="31"/>
    </row>
    <row r="1483" spans="4:4">
      <c r="D1483" s="31"/>
    </row>
    <row r="1484" spans="4:4">
      <c r="D1484" s="31"/>
    </row>
    <row r="1485" spans="4:4">
      <c r="D1485" s="31"/>
    </row>
    <row r="1486" spans="4:4">
      <c r="D1486" s="31"/>
    </row>
    <row r="1487" spans="4:4">
      <c r="D1487" s="31"/>
    </row>
    <row r="1488" spans="4:4">
      <c r="D1488" s="31"/>
    </row>
    <row r="1489" spans="4:4">
      <c r="D1489" s="31"/>
    </row>
    <row r="1490" spans="4:4">
      <c r="D1490" s="31"/>
    </row>
    <row r="1491" spans="4:4">
      <c r="D1491" s="31"/>
    </row>
    <row r="1492" spans="4:4">
      <c r="D1492" s="31"/>
    </row>
    <row r="1493" spans="4:4">
      <c r="D1493" s="31"/>
    </row>
    <row r="1494" spans="4:4">
      <c r="D1494" s="31"/>
    </row>
    <row r="1495" spans="4:4">
      <c r="D1495" s="31"/>
    </row>
    <row r="1496" spans="4:4">
      <c r="D1496" s="31"/>
    </row>
    <row r="1497" spans="4:4">
      <c r="D1497" s="31"/>
    </row>
    <row r="1498" spans="4:4">
      <c r="D1498" s="31"/>
    </row>
    <row r="1499" spans="4:4">
      <c r="D1499" s="31"/>
    </row>
    <row r="1500" spans="4:4">
      <c r="D1500" s="31"/>
    </row>
    <row r="1501" spans="4:4">
      <c r="D1501" s="31"/>
    </row>
    <row r="1502" spans="4:4">
      <c r="D1502" s="31"/>
    </row>
    <row r="1503" spans="4:4">
      <c r="D1503" s="31"/>
    </row>
    <row r="1504" spans="4:4">
      <c r="D1504" s="31"/>
    </row>
    <row r="1505" spans="4:4">
      <c r="D1505" s="31"/>
    </row>
    <row r="1506" spans="4:4">
      <c r="D1506" s="31"/>
    </row>
    <row r="1507" spans="4:4">
      <c r="D1507" s="31"/>
    </row>
    <row r="1509" spans="4:4">
      <c r="D1509" s="31"/>
    </row>
    <row r="1510" spans="4:4">
      <c r="D1510" s="31"/>
    </row>
    <row r="1511" spans="4:4">
      <c r="D1511" s="31"/>
    </row>
    <row r="1512" spans="4:4">
      <c r="D1512" s="31"/>
    </row>
    <row r="1513" spans="4:4">
      <c r="D1513" s="31"/>
    </row>
    <row r="1514" spans="4:4">
      <c r="D1514" s="31"/>
    </row>
    <row r="1515" spans="4:4">
      <c r="D1515" s="31"/>
    </row>
    <row r="1516" spans="4:4">
      <c r="D1516" s="31"/>
    </row>
    <row r="1517" spans="4:4">
      <c r="D1517" s="31"/>
    </row>
    <row r="1518" spans="4:4">
      <c r="D1518" s="31"/>
    </row>
    <row r="1519" spans="4:4">
      <c r="D1519" s="31"/>
    </row>
    <row r="1520" spans="4:4">
      <c r="D1520" s="31"/>
    </row>
    <row r="1521" spans="4:4">
      <c r="D1521" s="31"/>
    </row>
    <row r="1522" spans="4:4">
      <c r="D1522" s="31"/>
    </row>
    <row r="1523" spans="4:4">
      <c r="D1523" s="31"/>
    </row>
    <row r="1524" spans="4:4">
      <c r="D1524" s="31"/>
    </row>
    <row r="1525" spans="4:4">
      <c r="D1525" s="31"/>
    </row>
    <row r="1526" spans="4:4">
      <c r="D1526" s="31"/>
    </row>
    <row r="1527" spans="4:4">
      <c r="D1527" s="31"/>
    </row>
    <row r="1528" spans="4:4">
      <c r="D1528" s="31"/>
    </row>
    <row r="1529" spans="4:4">
      <c r="D1529" s="31"/>
    </row>
    <row r="1530" spans="4:4">
      <c r="D1530" s="31"/>
    </row>
    <row r="1531" spans="4:4">
      <c r="D1531" s="31"/>
    </row>
    <row r="1532" spans="4:4">
      <c r="D1532" s="31"/>
    </row>
    <row r="1533" spans="4:4">
      <c r="D1533" s="31"/>
    </row>
    <row r="1534" spans="4:4">
      <c r="D1534" s="31"/>
    </row>
    <row r="1535" spans="4:4">
      <c r="D1535" s="31"/>
    </row>
    <row r="1536" spans="4:4">
      <c r="D1536" s="31"/>
    </row>
    <row r="1537" spans="4:4">
      <c r="D1537" s="31"/>
    </row>
    <row r="1538" spans="4:4">
      <c r="D1538" s="31"/>
    </row>
    <row r="1539" spans="4:4">
      <c r="D1539" s="31"/>
    </row>
    <row r="1540" spans="4:4">
      <c r="D1540" s="31"/>
    </row>
    <row r="1541" spans="4:4">
      <c r="D1541" s="31"/>
    </row>
    <row r="1542" spans="4:4">
      <c r="D1542" s="31"/>
    </row>
    <row r="1543" spans="4:4">
      <c r="D1543" s="31"/>
    </row>
    <row r="1544" spans="4:4">
      <c r="D1544" s="31"/>
    </row>
    <row r="1545" spans="4:4">
      <c r="D1545" s="31"/>
    </row>
    <row r="1546" spans="4:4">
      <c r="D1546" s="31"/>
    </row>
    <row r="1547" spans="4:4">
      <c r="D1547" s="31"/>
    </row>
    <row r="1548" spans="4:4">
      <c r="D1548" s="31"/>
    </row>
    <row r="1549" spans="4:4">
      <c r="D1549" s="31"/>
    </row>
    <row r="1550" spans="4:4">
      <c r="D1550" s="31"/>
    </row>
    <row r="1551" spans="4:4">
      <c r="D1551" s="31"/>
    </row>
    <row r="1552" spans="4:4">
      <c r="D1552" s="31"/>
    </row>
    <row r="1553" spans="4:4">
      <c r="D1553" s="31"/>
    </row>
    <row r="1554" spans="4:4">
      <c r="D1554" s="31"/>
    </row>
    <row r="1555" spans="4:4">
      <c r="D1555" s="31"/>
    </row>
    <row r="1556" spans="4:4">
      <c r="D1556" s="31"/>
    </row>
    <row r="1557" spans="4:4">
      <c r="D1557" s="31"/>
    </row>
    <row r="1558" spans="4:4">
      <c r="D1558" s="31"/>
    </row>
    <row r="1559" spans="4:4">
      <c r="D1559" s="31"/>
    </row>
    <row r="1560" spans="4:4">
      <c r="D1560" s="31"/>
    </row>
    <row r="1561" spans="4:4">
      <c r="D1561" s="31"/>
    </row>
    <row r="1562" spans="4:4">
      <c r="D1562" s="31"/>
    </row>
    <row r="1563" spans="4:4">
      <c r="D1563" s="31"/>
    </row>
    <row r="1564" spans="4:4">
      <c r="D1564" s="31"/>
    </row>
    <row r="1565" spans="4:4">
      <c r="D1565" s="31"/>
    </row>
    <row r="1566" spans="4:4">
      <c r="D1566" s="31"/>
    </row>
    <row r="1567" spans="4:4">
      <c r="D1567" s="31"/>
    </row>
    <row r="1568" spans="4:4">
      <c r="D1568" s="31"/>
    </row>
    <row r="1569" spans="4:4">
      <c r="D1569" s="31"/>
    </row>
    <row r="1570" spans="4:4">
      <c r="D1570" s="31"/>
    </row>
    <row r="1571" spans="4:4">
      <c r="D1571" s="31"/>
    </row>
    <row r="1572" spans="4:4">
      <c r="D1572" s="31"/>
    </row>
    <row r="1573" spans="4:4">
      <c r="D1573" s="31"/>
    </row>
    <row r="1574" spans="4:4">
      <c r="D1574" s="31"/>
    </row>
    <row r="1575" spans="4:4">
      <c r="D1575" s="31"/>
    </row>
    <row r="1576" spans="4:4">
      <c r="D1576" s="31"/>
    </row>
    <row r="1577" spans="4:4">
      <c r="D1577" s="31"/>
    </row>
    <row r="1578" spans="4:4">
      <c r="D1578" s="31"/>
    </row>
    <row r="1579" spans="4:4">
      <c r="D1579" s="31"/>
    </row>
    <row r="1580" spans="4:4">
      <c r="D1580" s="31"/>
    </row>
    <row r="1581" spans="4:4">
      <c r="D1581" s="31"/>
    </row>
    <row r="1582" spans="4:4">
      <c r="D1582" s="31"/>
    </row>
    <row r="1583" spans="4:4">
      <c r="D1583" s="31"/>
    </row>
    <row r="1584" spans="4:4">
      <c r="D1584" s="31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82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3.6640625" style="2" customWidth="1"/>
    <col min="2" max="2" width="10.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35</v>
      </c>
      <c r="B2" s="1" t="s">
        <v>36</v>
      </c>
      <c r="C2" s="27">
        <v>64.703749999999999</v>
      </c>
      <c r="D2" s="28">
        <f t="shared" ref="D2:D41" si="0">C2*1000</f>
        <v>64703.75</v>
      </c>
      <c r="E2" s="1" t="s">
        <v>26</v>
      </c>
      <c r="F2" s="29">
        <v>9.9121186227200031</v>
      </c>
      <c r="G2" s="30">
        <v>2.0840334304400017</v>
      </c>
      <c r="H2" s="101">
        <f>(F2-9.16850878)/0.696474198</f>
        <v>1.0676775174950606</v>
      </c>
      <c r="I2" s="3">
        <v>0.47736281904900002</v>
      </c>
      <c r="J2" s="88">
        <v>64800</v>
      </c>
      <c r="K2" s="3">
        <v>0.28583344691500001</v>
      </c>
      <c r="L2" s="88">
        <v>64650.000000000007</v>
      </c>
      <c r="M2" s="3">
        <v>0.17975362137600001</v>
      </c>
      <c r="N2" s="88">
        <v>64800</v>
      </c>
      <c r="O2" s="3">
        <v>0.112417395588</v>
      </c>
      <c r="P2" s="88">
        <v>64800</v>
      </c>
    </row>
    <row r="3" spans="1:16">
      <c r="A3" s="1" t="s">
        <v>35</v>
      </c>
      <c r="B3" s="1" t="s">
        <v>36</v>
      </c>
      <c r="C3" s="27">
        <v>64.712083333333339</v>
      </c>
      <c r="D3" s="28">
        <f t="shared" si="0"/>
        <v>64712.083333333343</v>
      </c>
      <c r="E3" s="1" t="s">
        <v>26</v>
      </c>
      <c r="F3" s="29">
        <v>9.6937215750000032</v>
      </c>
      <c r="G3" s="30">
        <v>1.8656363827200018</v>
      </c>
      <c r="H3" s="101">
        <f t="shared" ref="H3:H66" si="1">(F3-9.16850878)/0.696474198</f>
        <v>0.75410230057080074</v>
      </c>
      <c r="I3" s="3">
        <v>0.40758559253999999</v>
      </c>
      <c r="J3" s="88">
        <v>65000</v>
      </c>
      <c r="K3" s="3">
        <v>0.44061058209800003</v>
      </c>
      <c r="L3" s="88">
        <v>64800</v>
      </c>
      <c r="M3" s="3">
        <v>0.27577345331300002</v>
      </c>
      <c r="N3" s="88">
        <v>64900.000000000007</v>
      </c>
      <c r="O3" s="3">
        <v>0.40783743296800001</v>
      </c>
      <c r="P3" s="88">
        <v>64849.999999999993</v>
      </c>
    </row>
    <row r="4" spans="1:16">
      <c r="A4" s="1" t="s">
        <v>35</v>
      </c>
      <c r="B4" s="1" t="s">
        <v>36</v>
      </c>
      <c r="C4" s="27">
        <v>64.720416666666665</v>
      </c>
      <c r="D4" s="28">
        <f t="shared" si="0"/>
        <v>64720.416666666664</v>
      </c>
      <c r="E4" s="1" t="s">
        <v>26</v>
      </c>
      <c r="F4" s="29">
        <v>9.5139673810800023</v>
      </c>
      <c r="G4" s="30">
        <v>1.6858821888000008</v>
      </c>
      <c r="H4" s="101">
        <f t="shared" si="1"/>
        <v>0.49601062332534895</v>
      </c>
      <c r="I4" s="3">
        <v>0.66249959020799998</v>
      </c>
      <c r="J4" s="88">
        <v>65200</v>
      </c>
      <c r="K4" s="3">
        <v>0.29672612359599998</v>
      </c>
      <c r="L4" s="88">
        <v>64950</v>
      </c>
      <c r="M4" s="3">
        <v>0.50905835502200003</v>
      </c>
      <c r="N4" s="88">
        <v>65000</v>
      </c>
      <c r="O4" s="3">
        <v>0.163619409534</v>
      </c>
      <c r="P4" s="88">
        <v>64900.000000000007</v>
      </c>
    </row>
    <row r="5" spans="1:16">
      <c r="A5" s="1" t="s">
        <v>35</v>
      </c>
      <c r="B5" s="1" t="s">
        <v>36</v>
      </c>
      <c r="C5" s="27">
        <v>64.728750000000005</v>
      </c>
      <c r="D5" s="28">
        <f t="shared" si="0"/>
        <v>64728.750000000007</v>
      </c>
      <c r="E5" s="1" t="s">
        <v>26</v>
      </c>
      <c r="F5" s="29">
        <v>9.645010583000003</v>
      </c>
      <c r="G5" s="30">
        <v>1.8169253907200016</v>
      </c>
      <c r="H5" s="101">
        <f t="shared" si="1"/>
        <v>0.68416289414357201</v>
      </c>
      <c r="I5" s="3">
        <v>0.533629417035</v>
      </c>
      <c r="J5" s="88">
        <v>65400.000000000007</v>
      </c>
      <c r="K5" s="3">
        <v>0.52495143121200005</v>
      </c>
      <c r="L5" s="88">
        <v>65099.999999999993</v>
      </c>
      <c r="M5" s="3">
        <v>0.480074165793</v>
      </c>
      <c r="N5" s="88">
        <v>65099.999999999993</v>
      </c>
      <c r="O5" s="3">
        <v>0.10354829758799999</v>
      </c>
      <c r="P5" s="88">
        <v>64950</v>
      </c>
    </row>
    <row r="6" spans="1:16">
      <c r="A6" s="1" t="s">
        <v>35</v>
      </c>
      <c r="B6" s="1" t="s">
        <v>36</v>
      </c>
      <c r="C6" s="27">
        <v>64.73720454545456</v>
      </c>
      <c r="D6" s="28">
        <f t="shared" si="0"/>
        <v>64737.204545454559</v>
      </c>
      <c r="E6" s="1" t="s">
        <v>26</v>
      </c>
      <c r="F6" s="29">
        <v>9.6149017225200009</v>
      </c>
      <c r="G6" s="30">
        <v>1.7868165302399994</v>
      </c>
      <c r="H6" s="101">
        <f t="shared" si="1"/>
        <v>0.64093249082574211</v>
      </c>
      <c r="I6" s="3">
        <v>0.29109792084399999</v>
      </c>
      <c r="J6" s="88">
        <v>65600</v>
      </c>
      <c r="K6" s="3">
        <v>0.99852156406199999</v>
      </c>
      <c r="L6" s="88">
        <v>65250</v>
      </c>
      <c r="M6" s="3">
        <v>0.56152031114699996</v>
      </c>
      <c r="N6" s="88">
        <v>65200</v>
      </c>
      <c r="O6" s="3">
        <v>0.36853269609200001</v>
      </c>
      <c r="P6" s="88">
        <v>65000</v>
      </c>
    </row>
    <row r="7" spans="1:16">
      <c r="A7" s="1" t="s">
        <v>35</v>
      </c>
      <c r="B7" s="1" t="s">
        <v>36</v>
      </c>
      <c r="C7" s="27">
        <v>64.746022727272731</v>
      </c>
      <c r="D7" s="28">
        <f t="shared" si="0"/>
        <v>64746.022727272728</v>
      </c>
      <c r="E7" s="1" t="s">
        <v>26</v>
      </c>
      <c r="F7" s="29">
        <v>9.2016097113200015</v>
      </c>
      <c r="G7" s="30">
        <v>1.3735245190400001</v>
      </c>
      <c r="H7" s="101">
        <f t="shared" si="1"/>
        <v>4.7526428710574706E-2</v>
      </c>
      <c r="I7" s="3">
        <v>0.57596079558000002</v>
      </c>
      <c r="J7" s="88">
        <v>65800</v>
      </c>
      <c r="K7" s="3">
        <v>0.59617318454199997</v>
      </c>
      <c r="L7" s="88">
        <v>65400.000000000007</v>
      </c>
      <c r="M7" s="3">
        <v>0.30327212274400001</v>
      </c>
      <c r="N7" s="88">
        <v>65300</v>
      </c>
      <c r="O7" s="3">
        <v>0.27340117212300002</v>
      </c>
      <c r="P7" s="88">
        <v>65050</v>
      </c>
    </row>
    <row r="8" spans="1:16">
      <c r="A8" s="1" t="s">
        <v>35</v>
      </c>
      <c r="B8" s="1" t="s">
        <v>36</v>
      </c>
      <c r="C8" s="27">
        <v>64.754840909090916</v>
      </c>
      <c r="D8" s="28">
        <f t="shared" si="0"/>
        <v>64754.840909090919</v>
      </c>
      <c r="E8" s="1" t="s">
        <v>26</v>
      </c>
      <c r="F8" s="29">
        <v>9.5037870244800029</v>
      </c>
      <c r="G8" s="30">
        <v>1.6757018322000015</v>
      </c>
      <c r="H8" s="101">
        <f t="shared" si="1"/>
        <v>0.48139363302013249</v>
      </c>
      <c r="I8" s="3">
        <v>0.87924824798099999</v>
      </c>
      <c r="J8" s="88">
        <v>66000</v>
      </c>
      <c r="K8" s="3">
        <v>0.28666024931599998</v>
      </c>
      <c r="L8" s="88">
        <v>65550</v>
      </c>
      <c r="M8" s="3">
        <v>0.78301113316399995</v>
      </c>
      <c r="N8" s="88">
        <v>65400.000000000007</v>
      </c>
      <c r="O8" s="3">
        <v>0.31442689648599997</v>
      </c>
      <c r="P8" s="88">
        <v>65099.999999999993</v>
      </c>
    </row>
    <row r="9" spans="1:16">
      <c r="A9" s="1" t="s">
        <v>35</v>
      </c>
      <c r="B9" s="1" t="s">
        <v>36</v>
      </c>
      <c r="C9" s="27">
        <v>64.763659090909087</v>
      </c>
      <c r="D9" s="28">
        <f t="shared" si="0"/>
        <v>64763.659090909088</v>
      </c>
      <c r="E9" s="1" t="s">
        <v>26</v>
      </c>
      <c r="F9" s="29">
        <v>9.3887253348800019</v>
      </c>
      <c r="G9" s="30">
        <v>1.5606401426000005</v>
      </c>
      <c r="H9" s="101">
        <f t="shared" si="1"/>
        <v>0.31618767143474585</v>
      </c>
      <c r="I9" s="3">
        <v>0.90809622657900002</v>
      </c>
      <c r="J9" s="88">
        <v>66200</v>
      </c>
      <c r="K9" s="3">
        <v>0.42898597103800001</v>
      </c>
      <c r="L9" s="88">
        <v>65700</v>
      </c>
      <c r="M9" s="3">
        <v>0.36294569131999999</v>
      </c>
      <c r="N9" s="88">
        <v>65500</v>
      </c>
      <c r="O9" s="3">
        <v>0.41444110398799999</v>
      </c>
      <c r="P9" s="88">
        <v>65150.000000000007</v>
      </c>
    </row>
    <row r="10" spans="1:16">
      <c r="A10" s="1" t="s">
        <v>35</v>
      </c>
      <c r="B10" s="1" t="s">
        <v>36</v>
      </c>
      <c r="C10" s="27">
        <v>64.772477272727272</v>
      </c>
      <c r="D10" s="28">
        <f t="shared" si="0"/>
        <v>64772.477272727272</v>
      </c>
      <c r="E10" s="1" t="s">
        <v>26</v>
      </c>
      <c r="F10" s="29">
        <v>9.1640217355200022</v>
      </c>
      <c r="G10" s="30">
        <v>1.3359365432400008</v>
      </c>
      <c r="H10" s="101">
        <f t="shared" si="1"/>
        <v>-6.4425135818133965E-3</v>
      </c>
      <c r="I10" s="3">
        <v>2.4140390792500002</v>
      </c>
      <c r="J10" s="88">
        <v>66400</v>
      </c>
      <c r="K10" s="3">
        <v>0.16049337780799999</v>
      </c>
      <c r="L10" s="88">
        <v>65850</v>
      </c>
      <c r="M10" s="3">
        <v>0.20994655424799999</v>
      </c>
      <c r="N10" s="88">
        <v>65600</v>
      </c>
      <c r="O10" s="3">
        <v>0.464198068164</v>
      </c>
      <c r="P10" s="88">
        <v>65200</v>
      </c>
    </row>
    <row r="11" spans="1:16">
      <c r="A11" s="1" t="s">
        <v>35</v>
      </c>
      <c r="B11" s="1" t="s">
        <v>36</v>
      </c>
      <c r="C11" s="27">
        <v>64.781295454545457</v>
      </c>
      <c r="D11" s="28">
        <f t="shared" si="0"/>
        <v>64781.295454545456</v>
      </c>
      <c r="E11" s="1" t="s">
        <v>26</v>
      </c>
      <c r="F11" s="29">
        <v>9.3307662870000012</v>
      </c>
      <c r="G11" s="30">
        <v>1.5026810947199998</v>
      </c>
      <c r="H11" s="101">
        <f t="shared" si="1"/>
        <v>0.23296987521711668</v>
      </c>
      <c r="I11" s="3">
        <v>0.57861258422399997</v>
      </c>
      <c r="J11" s="88">
        <v>66600</v>
      </c>
      <c r="K11" s="3">
        <v>0.54887009561900002</v>
      </c>
      <c r="L11" s="88">
        <v>66000</v>
      </c>
      <c r="M11" s="3">
        <v>0.43101902718500001</v>
      </c>
      <c r="N11" s="88">
        <v>65700</v>
      </c>
      <c r="O11" s="3">
        <v>0.41150463137400001</v>
      </c>
      <c r="P11" s="88">
        <v>65250</v>
      </c>
    </row>
    <row r="12" spans="1:16">
      <c r="A12" s="1" t="s">
        <v>35</v>
      </c>
      <c r="B12" s="1" t="s">
        <v>36</v>
      </c>
      <c r="C12" s="27">
        <v>64.790113636363628</v>
      </c>
      <c r="D12" s="28">
        <f t="shared" si="0"/>
        <v>64790.113636363625</v>
      </c>
      <c r="E12" s="1" t="s">
        <v>26</v>
      </c>
      <c r="F12" s="29">
        <v>9.2524704715200023</v>
      </c>
      <c r="G12" s="30">
        <v>1.4243852792400009</v>
      </c>
      <c r="H12" s="101">
        <f t="shared" si="1"/>
        <v>0.12055247956221136</v>
      </c>
      <c r="K12" s="3">
        <v>1.1411647490300001</v>
      </c>
      <c r="L12" s="88">
        <v>66150</v>
      </c>
      <c r="M12" s="3">
        <v>0.16049337780799999</v>
      </c>
      <c r="N12" s="88">
        <v>65900</v>
      </c>
      <c r="O12" s="3">
        <v>0.208507569369</v>
      </c>
      <c r="P12" s="88">
        <v>65300</v>
      </c>
    </row>
    <row r="13" spans="1:16">
      <c r="A13" s="1" t="s">
        <v>35</v>
      </c>
      <c r="B13" s="1" t="s">
        <v>36</v>
      </c>
      <c r="C13" s="27">
        <v>64.798931818181813</v>
      </c>
      <c r="D13" s="28">
        <f t="shared" si="0"/>
        <v>64798.931818181816</v>
      </c>
      <c r="E13" s="1" t="s">
        <v>26</v>
      </c>
      <c r="F13" s="29">
        <v>9.2524704715200023</v>
      </c>
      <c r="G13" s="30">
        <v>1.4243852792400009</v>
      </c>
      <c r="H13" s="101">
        <f t="shared" si="1"/>
        <v>0.12055247956221136</v>
      </c>
      <c r="K13" s="3">
        <v>1.0323915868</v>
      </c>
      <c r="L13" s="88">
        <v>66300</v>
      </c>
      <c r="M13" s="3">
        <v>0.21708907515</v>
      </c>
      <c r="N13" s="88">
        <v>66000</v>
      </c>
      <c r="O13" s="3">
        <v>0.30018837015900002</v>
      </c>
      <c r="P13" s="88">
        <v>65349.999999999993</v>
      </c>
    </row>
    <row r="14" spans="1:16">
      <c r="A14" s="1" t="s">
        <v>35</v>
      </c>
      <c r="B14" s="1" t="s">
        <v>36</v>
      </c>
      <c r="C14" s="27">
        <v>64.807749999999999</v>
      </c>
      <c r="D14" s="28">
        <f t="shared" si="0"/>
        <v>64807.75</v>
      </c>
      <c r="E14" s="1" t="s">
        <v>26</v>
      </c>
      <c r="F14" s="29">
        <v>9.3024539106800024</v>
      </c>
      <c r="G14" s="30">
        <v>1.4743687184000009</v>
      </c>
      <c r="H14" s="101">
        <f t="shared" si="1"/>
        <v>0.19231886990880684</v>
      </c>
      <c r="K14" s="3">
        <v>1.3392006648000001</v>
      </c>
      <c r="L14" s="88">
        <v>66450</v>
      </c>
      <c r="M14" s="3">
        <v>0.72031767179899997</v>
      </c>
      <c r="N14" s="88">
        <v>66100</v>
      </c>
      <c r="O14" s="3">
        <v>0.178471241782</v>
      </c>
      <c r="P14" s="88">
        <v>65450</v>
      </c>
    </row>
    <row r="15" spans="1:16">
      <c r="A15" s="1" t="s">
        <v>35</v>
      </c>
      <c r="B15" s="1" t="s">
        <v>36</v>
      </c>
      <c r="C15" s="27">
        <v>64.816568181818184</v>
      </c>
      <c r="D15" s="28">
        <f t="shared" si="0"/>
        <v>64816.568181818184</v>
      </c>
      <c r="E15" s="1" t="s">
        <v>26</v>
      </c>
      <c r="F15" s="29">
        <v>9.3444809188800022</v>
      </c>
      <c r="G15" s="30">
        <v>1.5163957266000008</v>
      </c>
      <c r="H15" s="101">
        <f t="shared" si="1"/>
        <v>0.25266138987678965</v>
      </c>
      <c r="K15" s="3">
        <v>0.64979805142799996</v>
      </c>
      <c r="L15" s="88">
        <v>66600</v>
      </c>
      <c r="M15" s="3">
        <v>0.66930767036500005</v>
      </c>
      <c r="N15" s="88">
        <v>66200</v>
      </c>
      <c r="O15" s="3">
        <v>0.51762452952399995</v>
      </c>
      <c r="P15" s="88">
        <v>65500</v>
      </c>
    </row>
    <row r="16" spans="1:16">
      <c r="A16" s="1" t="s">
        <v>35</v>
      </c>
      <c r="B16" s="1" t="s">
        <v>36</v>
      </c>
      <c r="C16" s="27">
        <v>64.825386363636369</v>
      </c>
      <c r="D16" s="28">
        <f t="shared" si="0"/>
        <v>64825.386363636368</v>
      </c>
      <c r="E16" s="1" t="s">
        <v>26</v>
      </c>
      <c r="F16" s="29">
        <v>9.1874584690800027</v>
      </c>
      <c r="G16" s="30">
        <v>1.3593732768000013</v>
      </c>
      <c r="H16" s="101">
        <f t="shared" si="1"/>
        <v>2.7208027425020188E-2</v>
      </c>
      <c r="M16" s="3">
        <v>0.83610986980599999</v>
      </c>
      <c r="N16" s="88">
        <v>66300</v>
      </c>
      <c r="O16" s="3">
        <v>0.21688975290699999</v>
      </c>
      <c r="P16" s="88">
        <v>65550</v>
      </c>
    </row>
    <row r="17" spans="1:16">
      <c r="A17" s="1" t="s">
        <v>35</v>
      </c>
      <c r="B17" s="1" t="s">
        <v>36</v>
      </c>
      <c r="C17" s="27">
        <v>64.835846153846163</v>
      </c>
      <c r="D17" s="28">
        <f t="shared" si="0"/>
        <v>64835.846153846163</v>
      </c>
      <c r="E17" s="1" t="s">
        <v>26</v>
      </c>
      <c r="F17" s="29">
        <v>9.6636085257200026</v>
      </c>
      <c r="G17" s="30">
        <v>1.8355233334400012</v>
      </c>
      <c r="H17" s="101">
        <f t="shared" si="1"/>
        <v>0.71086588295982045</v>
      </c>
      <c r="M17" s="3">
        <v>1.16348855219</v>
      </c>
      <c r="N17" s="88">
        <v>66400</v>
      </c>
      <c r="O17" s="3">
        <v>0.138411631284</v>
      </c>
      <c r="P17" s="88">
        <v>65600</v>
      </c>
    </row>
    <row r="18" spans="1:16">
      <c r="A18" s="1" t="s">
        <v>35</v>
      </c>
      <c r="B18" s="1" t="s">
        <v>36</v>
      </c>
      <c r="C18" s="27">
        <v>64.851230769230767</v>
      </c>
      <c r="D18" s="28">
        <f t="shared" si="0"/>
        <v>64851.230769230766</v>
      </c>
      <c r="E18" s="1" t="s">
        <v>26</v>
      </c>
      <c r="F18" s="29">
        <v>9.6729078675200011</v>
      </c>
      <c r="G18" s="30">
        <v>1.8448226752399997</v>
      </c>
      <c r="H18" s="101">
        <f t="shared" si="1"/>
        <v>0.72421790924694285</v>
      </c>
      <c r="M18" s="3">
        <v>0.38691596793299998</v>
      </c>
      <c r="N18" s="88">
        <v>66500</v>
      </c>
      <c r="O18" s="3">
        <v>0.29079003713399998</v>
      </c>
      <c r="P18" s="88">
        <v>65650</v>
      </c>
    </row>
    <row r="19" spans="1:16">
      <c r="A19" s="1" t="s">
        <v>35</v>
      </c>
      <c r="B19" s="1" t="s">
        <v>36</v>
      </c>
      <c r="C19" s="27">
        <v>64.866615384615386</v>
      </c>
      <c r="D19" s="28">
        <f t="shared" si="0"/>
        <v>64866.615384615383</v>
      </c>
      <c r="E19" s="1" t="s">
        <v>26</v>
      </c>
      <c r="F19" s="29">
        <v>9.446693992920002</v>
      </c>
      <c r="G19" s="30">
        <v>1.6186088006400006</v>
      </c>
      <c r="H19" s="101">
        <f t="shared" si="1"/>
        <v>0.39941926595248001</v>
      </c>
      <c r="M19" s="3">
        <v>0.49245512207199998</v>
      </c>
      <c r="N19" s="88">
        <v>66600</v>
      </c>
      <c r="O19" s="3">
        <v>0.445151951825</v>
      </c>
      <c r="P19" s="88">
        <v>65700</v>
      </c>
    </row>
    <row r="20" spans="1:16">
      <c r="A20" s="1" t="s">
        <v>35</v>
      </c>
      <c r="B20" s="1" t="s">
        <v>36</v>
      </c>
      <c r="C20" s="27">
        <v>64.882000000000005</v>
      </c>
      <c r="D20" s="28">
        <f t="shared" si="0"/>
        <v>64882.000000000007</v>
      </c>
      <c r="E20" s="1" t="s">
        <v>26</v>
      </c>
      <c r="F20" s="29">
        <v>9.3365175187200027</v>
      </c>
      <c r="G20" s="30">
        <v>1.5084323264400012</v>
      </c>
      <c r="H20" s="101">
        <f t="shared" si="1"/>
        <v>0.24122751309733786</v>
      </c>
      <c r="O20" s="3">
        <v>0.140750600414</v>
      </c>
      <c r="P20" s="88">
        <v>65750</v>
      </c>
    </row>
    <row r="21" spans="1:16">
      <c r="A21" s="1" t="s">
        <v>35</v>
      </c>
      <c r="B21" s="1" t="s">
        <v>36</v>
      </c>
      <c r="C21" s="27">
        <v>64.89738461538461</v>
      </c>
      <c r="D21" s="28">
        <f t="shared" si="0"/>
        <v>64897.38461538461</v>
      </c>
      <c r="E21" s="1" t="s">
        <v>26</v>
      </c>
      <c r="F21" s="29">
        <v>9.5644309129200025</v>
      </c>
      <c r="G21" s="30">
        <v>1.736345720640001</v>
      </c>
      <c r="H21" s="101">
        <f t="shared" si="1"/>
        <v>0.56846633235938293</v>
      </c>
      <c r="O21" s="3">
        <v>0.16049337780799999</v>
      </c>
      <c r="P21" s="88">
        <v>65900</v>
      </c>
    </row>
    <row r="22" spans="1:16">
      <c r="A22" s="1" t="s">
        <v>35</v>
      </c>
      <c r="B22" s="1" t="s">
        <v>36</v>
      </c>
      <c r="C22" s="27">
        <v>64.928153846153833</v>
      </c>
      <c r="D22" s="28">
        <f t="shared" si="0"/>
        <v>64928.153846153837</v>
      </c>
      <c r="E22" s="1" t="s">
        <v>26</v>
      </c>
      <c r="F22" s="29">
        <v>9.3320934859200033</v>
      </c>
      <c r="G22" s="30">
        <v>1.5040082936400019</v>
      </c>
      <c r="H22" s="101">
        <f t="shared" si="1"/>
        <v>0.2348754718979604</v>
      </c>
      <c r="I22" s="30"/>
      <c r="O22" s="3">
        <v>0.54887009561900002</v>
      </c>
      <c r="P22" s="88">
        <v>66050</v>
      </c>
    </row>
    <row r="23" spans="1:16">
      <c r="A23" s="1" t="s">
        <v>35</v>
      </c>
      <c r="B23" s="1" t="s">
        <v>36</v>
      </c>
      <c r="C23" s="27">
        <v>64.939022727272729</v>
      </c>
      <c r="D23" s="28">
        <f t="shared" si="0"/>
        <v>64939.022727272728</v>
      </c>
      <c r="E23" s="1" t="s">
        <v>26</v>
      </c>
      <c r="F23" s="29">
        <v>9.5387555750000015</v>
      </c>
      <c r="G23" s="30">
        <v>1.71067038272</v>
      </c>
      <c r="H23" s="101">
        <f t="shared" si="1"/>
        <v>0.53160159567031329</v>
      </c>
      <c r="I23" s="30"/>
      <c r="O23" s="3">
        <v>0.45818359068600001</v>
      </c>
      <c r="P23" s="88">
        <v>66100</v>
      </c>
    </row>
    <row r="24" spans="1:16">
      <c r="A24" s="1" t="s">
        <v>35</v>
      </c>
      <c r="B24" s="1" t="s">
        <v>36</v>
      </c>
      <c r="C24" s="27">
        <v>64.948386363636359</v>
      </c>
      <c r="D24" s="28">
        <f t="shared" si="0"/>
        <v>64948.38636363636</v>
      </c>
      <c r="E24" s="1" t="s">
        <v>26</v>
      </c>
      <c r="F24" s="29">
        <v>9.3825307795200015</v>
      </c>
      <c r="G24" s="30">
        <v>1.55444558724</v>
      </c>
      <c r="H24" s="101">
        <f t="shared" si="1"/>
        <v>0.3072935079785995</v>
      </c>
      <c r="I24" s="30"/>
      <c r="O24" s="3">
        <v>0.81548352451899997</v>
      </c>
      <c r="P24" s="88">
        <v>66150</v>
      </c>
    </row>
    <row r="25" spans="1:16">
      <c r="A25" s="1" t="s">
        <v>35</v>
      </c>
      <c r="B25" s="1" t="s">
        <v>36</v>
      </c>
      <c r="C25" s="27">
        <v>64.95774999999999</v>
      </c>
      <c r="D25" s="28">
        <f t="shared" si="0"/>
        <v>64957.749999999993</v>
      </c>
      <c r="E25" s="1" t="s">
        <v>26</v>
      </c>
      <c r="F25" s="29">
        <v>9.2639704524800024</v>
      </c>
      <c r="G25" s="30">
        <v>1.435885260200001</v>
      </c>
      <c r="H25" s="101">
        <f t="shared" si="1"/>
        <v>0.13706419096950179</v>
      </c>
      <c r="I25" s="30"/>
      <c r="O25" s="3">
        <v>0.41826640668499998</v>
      </c>
      <c r="P25" s="88">
        <v>66200</v>
      </c>
    </row>
    <row r="26" spans="1:16">
      <c r="A26" s="1" t="s">
        <v>35</v>
      </c>
      <c r="B26" s="1" t="s">
        <v>36</v>
      </c>
      <c r="C26" s="27">
        <v>64.967113636363635</v>
      </c>
      <c r="D26" s="28">
        <f t="shared" si="0"/>
        <v>64967.113636363632</v>
      </c>
      <c r="E26" s="1" t="s">
        <v>26</v>
      </c>
      <c r="F26" s="29">
        <v>9.404212203480002</v>
      </c>
      <c r="G26" s="30">
        <v>1.5761270112000005</v>
      </c>
      <c r="H26" s="101">
        <f t="shared" si="1"/>
        <v>0.33842376954788811</v>
      </c>
      <c r="I26" s="30"/>
      <c r="O26" s="3">
        <v>0.91839343117899996</v>
      </c>
      <c r="P26" s="88">
        <v>66250</v>
      </c>
    </row>
    <row r="27" spans="1:16">
      <c r="A27" s="1" t="s">
        <v>35</v>
      </c>
      <c r="B27" s="1" t="s">
        <v>36</v>
      </c>
      <c r="C27" s="27">
        <v>64.976477272727266</v>
      </c>
      <c r="D27" s="28">
        <f t="shared" si="0"/>
        <v>64976.477272727265</v>
      </c>
      <c r="E27" s="1" t="s">
        <v>26</v>
      </c>
      <c r="F27" s="29">
        <v>9.1595998867200024</v>
      </c>
      <c r="G27" s="30">
        <v>1.3315146944400009</v>
      </c>
      <c r="H27" s="101">
        <f t="shared" si="1"/>
        <v>-1.2791418986633361E-2</v>
      </c>
      <c r="I27" s="30"/>
      <c r="O27" s="3">
        <v>0.94075015196699996</v>
      </c>
      <c r="P27" s="88">
        <v>66300</v>
      </c>
    </row>
    <row r="28" spans="1:16">
      <c r="A28" s="1" t="s">
        <v>35</v>
      </c>
      <c r="B28" s="1" t="s">
        <v>36</v>
      </c>
      <c r="C28" s="27">
        <v>64.985840909090896</v>
      </c>
      <c r="D28" s="28">
        <f t="shared" si="0"/>
        <v>64985.840909090897</v>
      </c>
      <c r="E28" s="1" t="s">
        <v>26</v>
      </c>
      <c r="F28" s="29">
        <v>9.4564301298800029</v>
      </c>
      <c r="G28" s="30">
        <v>1.6283449376000014</v>
      </c>
      <c r="H28" s="101">
        <f t="shared" si="1"/>
        <v>0.41339844420195315</v>
      </c>
      <c r="I28" s="30"/>
      <c r="O28" s="3">
        <v>0.492478517166</v>
      </c>
      <c r="P28" s="88">
        <v>66350</v>
      </c>
    </row>
    <row r="29" spans="1:16">
      <c r="A29" s="1" t="s">
        <v>35</v>
      </c>
      <c r="B29" s="1" t="s">
        <v>36</v>
      </c>
      <c r="C29" s="27">
        <v>64.995204545454541</v>
      </c>
      <c r="D29" s="28">
        <f t="shared" si="0"/>
        <v>64995.204545454544</v>
      </c>
      <c r="E29" s="1" t="s">
        <v>26</v>
      </c>
      <c r="F29" s="29">
        <v>9.6033901954800029</v>
      </c>
      <c r="G29" s="30">
        <v>1.7753050032000015</v>
      </c>
      <c r="H29" s="101">
        <f t="shared" si="1"/>
        <v>0.62440420151789044</v>
      </c>
      <c r="I29" s="30"/>
      <c r="O29" s="3">
        <v>0.88076392046700003</v>
      </c>
      <c r="P29" s="88">
        <v>66400</v>
      </c>
    </row>
    <row r="30" spans="1:16">
      <c r="A30" s="1" t="s">
        <v>35</v>
      </c>
      <c r="B30" s="1" t="s">
        <v>36</v>
      </c>
      <c r="C30" s="27">
        <v>65.004568181818186</v>
      </c>
      <c r="D30" s="28">
        <f t="shared" si="0"/>
        <v>65004.568181818184</v>
      </c>
      <c r="E30" s="1" t="s">
        <v>26</v>
      </c>
      <c r="F30" s="29">
        <v>9.2781247948800019</v>
      </c>
      <c r="G30" s="30">
        <v>1.4500396026000004</v>
      </c>
      <c r="H30" s="101">
        <f t="shared" si="1"/>
        <v>0.15738704347523017</v>
      </c>
      <c r="I30" s="30"/>
      <c r="O30" s="3">
        <v>0.11241699384999999</v>
      </c>
      <c r="P30" s="88">
        <v>66450</v>
      </c>
    </row>
    <row r="31" spans="1:16">
      <c r="A31" s="1" t="s">
        <v>35</v>
      </c>
      <c r="B31" s="1" t="s">
        <v>36</v>
      </c>
      <c r="C31" s="27">
        <v>65.013931818181803</v>
      </c>
      <c r="D31" s="28">
        <f t="shared" si="0"/>
        <v>65013.931818181802</v>
      </c>
      <c r="E31" s="1" t="s">
        <v>26</v>
      </c>
      <c r="F31" s="29">
        <v>9.6888501708800003</v>
      </c>
      <c r="G31" s="30">
        <v>1.8607649785999989</v>
      </c>
      <c r="H31" s="101">
        <f t="shared" si="1"/>
        <v>0.74710792212291044</v>
      </c>
      <c r="I31" s="30"/>
      <c r="O31" s="3">
        <v>0.48194237356399999</v>
      </c>
      <c r="P31" s="88">
        <v>66500</v>
      </c>
    </row>
    <row r="32" spans="1:16">
      <c r="A32" s="1" t="s">
        <v>35</v>
      </c>
      <c r="B32" s="1" t="s">
        <v>36</v>
      </c>
      <c r="C32" s="27">
        <v>65.023295454545448</v>
      </c>
      <c r="D32" s="28">
        <f t="shared" si="0"/>
        <v>65023.295454545449</v>
      </c>
      <c r="E32" s="1" t="s">
        <v>26</v>
      </c>
      <c r="F32" s="29">
        <v>9.5073279844800034</v>
      </c>
      <c r="G32" s="30">
        <v>1.6792427922000019</v>
      </c>
      <c r="H32" s="101">
        <f t="shared" si="1"/>
        <v>0.48647775531808513</v>
      </c>
      <c r="I32" s="30"/>
      <c r="O32" s="3">
        <v>0.50006136500499998</v>
      </c>
      <c r="P32" s="88">
        <v>66550</v>
      </c>
    </row>
    <row r="33" spans="1:9">
      <c r="A33" s="1" t="s">
        <v>35</v>
      </c>
      <c r="B33" s="1" t="s">
        <v>36</v>
      </c>
      <c r="C33" s="27">
        <v>65.032659090909078</v>
      </c>
      <c r="D33" s="28">
        <f t="shared" si="0"/>
        <v>65032.659090909081</v>
      </c>
      <c r="E33" s="1" t="s">
        <v>26</v>
      </c>
      <c r="F33" s="29">
        <v>9.8150856882800017</v>
      </c>
      <c r="G33" s="30">
        <v>1.9870004960000003</v>
      </c>
      <c r="H33" s="101">
        <f t="shared" si="1"/>
        <v>0.92835730330960797</v>
      </c>
      <c r="I33" s="30"/>
    </row>
    <row r="34" spans="1:9">
      <c r="A34" s="1" t="s">
        <v>35</v>
      </c>
      <c r="B34" s="1" t="s">
        <v>36</v>
      </c>
      <c r="C34" s="27">
        <v>65.039546874999999</v>
      </c>
      <c r="D34" s="28">
        <f t="shared" si="0"/>
        <v>65039.546875</v>
      </c>
      <c r="E34" s="1" t="s">
        <v>26</v>
      </c>
      <c r="F34" s="29">
        <v>9.7025788470000016</v>
      </c>
      <c r="G34" s="30">
        <v>1.8744936547200002</v>
      </c>
      <c r="H34" s="101">
        <f t="shared" si="1"/>
        <v>0.76681960154969275</v>
      </c>
      <c r="I34" s="30"/>
    </row>
    <row r="35" spans="1:9">
      <c r="A35" s="1" t="s">
        <v>35</v>
      </c>
      <c r="B35" s="1" t="s">
        <v>36</v>
      </c>
      <c r="C35" s="27">
        <v>65.045609374999998</v>
      </c>
      <c r="D35" s="28">
        <f t="shared" si="0"/>
        <v>65045.609375</v>
      </c>
      <c r="E35" s="1" t="s">
        <v>26</v>
      </c>
      <c r="F35" s="29">
        <v>10.029125534720002</v>
      </c>
      <c r="G35" s="30">
        <v>2.2010403424400007</v>
      </c>
      <c r="H35" s="101">
        <f t="shared" si="1"/>
        <v>1.2356764359560701</v>
      </c>
      <c r="I35" s="30"/>
    </row>
    <row r="36" spans="1:9">
      <c r="A36" s="1" t="s">
        <v>35</v>
      </c>
      <c r="B36" s="1" t="s">
        <v>36</v>
      </c>
      <c r="C36" s="27">
        <v>65.051671874999997</v>
      </c>
      <c r="D36" s="28">
        <f t="shared" si="0"/>
        <v>65051.671875</v>
      </c>
      <c r="E36" s="1" t="s">
        <v>26</v>
      </c>
      <c r="F36" s="29">
        <v>9.5560198188800012</v>
      </c>
      <c r="G36" s="30">
        <v>1.7279346265999997</v>
      </c>
      <c r="H36" s="101">
        <f t="shared" si="1"/>
        <v>0.556389655198686</v>
      </c>
      <c r="I36" s="30"/>
    </row>
    <row r="37" spans="1:9">
      <c r="A37" s="1" t="s">
        <v>35</v>
      </c>
      <c r="B37" s="1" t="s">
        <v>36</v>
      </c>
      <c r="C37" s="27">
        <v>65.057734374999995</v>
      </c>
      <c r="D37" s="28">
        <f t="shared" si="0"/>
        <v>65057.734374999993</v>
      </c>
      <c r="E37" s="1" t="s">
        <v>26</v>
      </c>
      <c r="F37" s="29">
        <v>9.4767883830000024</v>
      </c>
      <c r="G37" s="30">
        <v>1.6487031907200009</v>
      </c>
      <c r="H37" s="101">
        <f t="shared" si="1"/>
        <v>0.44262889262123473</v>
      </c>
      <c r="I37" s="30"/>
    </row>
    <row r="38" spans="1:9">
      <c r="A38" s="1" t="s">
        <v>35</v>
      </c>
      <c r="B38" s="1" t="s">
        <v>36</v>
      </c>
      <c r="C38" s="27">
        <v>65.063796874999994</v>
      </c>
      <c r="D38" s="28">
        <f t="shared" si="0"/>
        <v>65063.796874999993</v>
      </c>
      <c r="E38" s="1" t="s">
        <v>26</v>
      </c>
      <c r="F38" s="29">
        <v>9.5905508619200006</v>
      </c>
      <c r="G38" s="30">
        <v>1.7624656696399992</v>
      </c>
      <c r="H38" s="101">
        <f t="shared" si="1"/>
        <v>0.60596944313506473</v>
      </c>
      <c r="I38" s="30"/>
    </row>
    <row r="39" spans="1:9">
      <c r="A39" s="1" t="s">
        <v>35</v>
      </c>
      <c r="B39" s="1" t="s">
        <v>36</v>
      </c>
      <c r="C39" s="27">
        <v>65.069859374999993</v>
      </c>
      <c r="D39" s="28">
        <f t="shared" si="0"/>
        <v>65069.859374999993</v>
      </c>
      <c r="E39" s="1" t="s">
        <v>26</v>
      </c>
      <c r="F39" s="29">
        <v>9.5808109920000017</v>
      </c>
      <c r="G39" s="30">
        <v>1.7527257997200003</v>
      </c>
      <c r="H39" s="101">
        <f t="shared" si="1"/>
        <v>0.59198490508904966</v>
      </c>
      <c r="I39" s="30"/>
    </row>
    <row r="40" spans="1:9">
      <c r="A40" s="1" t="s">
        <v>35</v>
      </c>
      <c r="B40" s="1" t="s">
        <v>36</v>
      </c>
      <c r="C40" s="27">
        <v>65.075921874999992</v>
      </c>
      <c r="D40" s="28">
        <f t="shared" si="0"/>
        <v>65075.921874999993</v>
      </c>
      <c r="E40" s="1" t="s">
        <v>26</v>
      </c>
      <c r="F40" s="29">
        <v>9.6968215947200012</v>
      </c>
      <c r="G40" s="30">
        <v>1.8687364024399997</v>
      </c>
      <c r="H40" s="101">
        <f t="shared" si="1"/>
        <v>0.75855331932914094</v>
      </c>
      <c r="I40" s="30"/>
    </row>
    <row r="41" spans="1:9">
      <c r="A41" s="1" t="s">
        <v>35</v>
      </c>
      <c r="B41" s="1" t="s">
        <v>36</v>
      </c>
      <c r="C41" s="27">
        <v>65.081984375000005</v>
      </c>
      <c r="D41" s="28">
        <f t="shared" si="0"/>
        <v>65081.984375000007</v>
      </c>
      <c r="E41" s="1" t="s">
        <v>26</v>
      </c>
      <c r="F41" s="29">
        <v>9.8514145090800032</v>
      </c>
      <c r="G41" s="30">
        <v>2.0233293168000017</v>
      </c>
      <c r="H41" s="101">
        <f t="shared" si="1"/>
        <v>0.98051834661074322</v>
      </c>
      <c r="I41" s="30"/>
    </row>
    <row r="42" spans="1:9">
      <c r="A42" s="1" t="s">
        <v>35</v>
      </c>
      <c r="B42" s="1" t="s">
        <v>36</v>
      </c>
      <c r="C42" s="27">
        <v>65.088046875000003</v>
      </c>
      <c r="D42" s="28">
        <f t="shared" ref="D42:D105" si="2">C42*1000</f>
        <v>65088.046875</v>
      </c>
      <c r="E42" s="1" t="s">
        <v>26</v>
      </c>
      <c r="F42" s="29">
        <v>10.105821687000002</v>
      </c>
      <c r="G42" s="30">
        <v>2.2777364947200009</v>
      </c>
      <c r="H42" s="101">
        <f t="shared" si="1"/>
        <v>1.3457970297989454</v>
      </c>
      <c r="I42" s="30"/>
    </row>
    <row r="43" spans="1:9">
      <c r="A43" s="1" t="s">
        <v>35</v>
      </c>
      <c r="B43" s="1" t="s">
        <v>36</v>
      </c>
      <c r="C43" s="27">
        <v>65.094109375000002</v>
      </c>
      <c r="D43" s="28">
        <f t="shared" si="2"/>
        <v>65094.109375</v>
      </c>
      <c r="E43" s="1" t="s">
        <v>26</v>
      </c>
      <c r="F43" s="29">
        <v>9.9994269030000016</v>
      </c>
      <c r="G43" s="30">
        <v>2.1713417107200002</v>
      </c>
      <c r="H43" s="101">
        <f t="shared" si="1"/>
        <v>1.1930350404739642</v>
      </c>
      <c r="I43" s="30"/>
    </row>
    <row r="44" spans="1:9">
      <c r="A44" s="1" t="s">
        <v>35</v>
      </c>
      <c r="B44" s="1" t="s">
        <v>36</v>
      </c>
      <c r="C44" s="27">
        <v>65.100171875000001</v>
      </c>
      <c r="D44" s="28">
        <f t="shared" si="2"/>
        <v>65100.171875</v>
      </c>
      <c r="E44" s="1" t="s">
        <v>26</v>
      </c>
      <c r="F44" s="29">
        <v>10.039321167000002</v>
      </c>
      <c r="G44" s="30">
        <v>2.211235974720001</v>
      </c>
      <c r="H44" s="101">
        <f t="shared" si="1"/>
        <v>1.2503153591340976</v>
      </c>
      <c r="I44" s="30"/>
    </row>
    <row r="45" spans="1:9">
      <c r="A45" s="1" t="s">
        <v>35</v>
      </c>
      <c r="B45" s="1" t="s">
        <v>36</v>
      </c>
      <c r="C45" s="27">
        <v>65.106234375</v>
      </c>
      <c r="D45" s="28">
        <f t="shared" si="2"/>
        <v>65106.234375</v>
      </c>
      <c r="E45" s="1" t="s">
        <v>26</v>
      </c>
      <c r="F45" s="29">
        <v>9.9178794130800014</v>
      </c>
      <c r="G45" s="30">
        <v>2.0897942208</v>
      </c>
      <c r="H45" s="101">
        <f t="shared" si="1"/>
        <v>1.0759488797027936</v>
      </c>
      <c r="I45" s="30"/>
    </row>
    <row r="46" spans="1:9">
      <c r="A46" s="1" t="s">
        <v>35</v>
      </c>
      <c r="B46" s="1" t="s">
        <v>36</v>
      </c>
      <c r="C46" s="27">
        <v>65.111690624999994</v>
      </c>
      <c r="D46" s="28">
        <f t="shared" si="2"/>
        <v>65111.690624999996</v>
      </c>
      <c r="E46" s="1" t="s">
        <v>26</v>
      </c>
      <c r="F46" s="29">
        <v>9.4838697922800019</v>
      </c>
      <c r="G46" s="30">
        <v>1.6557846000000005</v>
      </c>
      <c r="H46" s="101">
        <f t="shared" si="1"/>
        <v>0.45279640392364129</v>
      </c>
      <c r="I46" s="30"/>
    </row>
    <row r="47" spans="1:9">
      <c r="A47" s="1" t="s">
        <v>35</v>
      </c>
      <c r="B47" s="1" t="s">
        <v>36</v>
      </c>
      <c r="C47" s="27">
        <v>65.116995312500009</v>
      </c>
      <c r="D47" s="28">
        <f t="shared" si="2"/>
        <v>65116.99531250001</v>
      </c>
      <c r="E47" s="1" t="s">
        <v>26</v>
      </c>
      <c r="F47" s="29">
        <v>9.8624911180800012</v>
      </c>
      <c r="G47" s="30">
        <v>2.0344059257999998</v>
      </c>
      <c r="H47" s="101">
        <f t="shared" si="1"/>
        <v>0.99642217913146791</v>
      </c>
      <c r="I47" s="30"/>
    </row>
    <row r="48" spans="1:9">
      <c r="A48" s="1" t="s">
        <v>35</v>
      </c>
      <c r="B48" s="1" t="s">
        <v>36</v>
      </c>
      <c r="C48" s="27">
        <v>65.118359374999997</v>
      </c>
      <c r="D48" s="28">
        <f t="shared" si="2"/>
        <v>65118.359375</v>
      </c>
      <c r="E48" s="1" t="s">
        <v>26</v>
      </c>
      <c r="F48" s="29">
        <v>9.8531867430000037</v>
      </c>
      <c r="G48" s="30">
        <v>2.0251015507200023</v>
      </c>
      <c r="H48" s="101">
        <f t="shared" si="1"/>
        <v>0.98306292604396517</v>
      </c>
      <c r="I48" s="30"/>
    </row>
    <row r="49" spans="1:9">
      <c r="A49" s="1" t="s">
        <v>35</v>
      </c>
      <c r="B49" s="1" t="s">
        <v>36</v>
      </c>
      <c r="C49" s="27">
        <v>65.124573437500004</v>
      </c>
      <c r="D49" s="28">
        <f t="shared" si="2"/>
        <v>65124.573437500003</v>
      </c>
      <c r="E49" s="1" t="s">
        <v>26</v>
      </c>
      <c r="F49" s="29">
        <v>9.7295949100800012</v>
      </c>
      <c r="G49" s="30">
        <v>1.9015097177999998</v>
      </c>
      <c r="H49" s="101">
        <f t="shared" si="1"/>
        <v>0.80560935594056482</v>
      </c>
      <c r="I49" s="30"/>
    </row>
    <row r="50" spans="1:9">
      <c r="A50" s="1" t="s">
        <v>35</v>
      </c>
      <c r="B50" s="1" t="s">
        <v>36</v>
      </c>
      <c r="C50" s="27">
        <v>65.130635937500003</v>
      </c>
      <c r="D50" s="28">
        <f t="shared" si="2"/>
        <v>65130.635937500003</v>
      </c>
      <c r="E50" s="1" t="s">
        <v>26</v>
      </c>
      <c r="F50" s="29">
        <v>9.521492182880003</v>
      </c>
      <c r="G50" s="30">
        <v>1.6934069906000015</v>
      </c>
      <c r="H50" s="101">
        <f t="shared" si="1"/>
        <v>0.50681475910181983</v>
      </c>
      <c r="I50" s="30"/>
    </row>
    <row r="51" spans="1:9">
      <c r="A51" s="1" t="s">
        <v>35</v>
      </c>
      <c r="B51" s="1" t="s">
        <v>36</v>
      </c>
      <c r="C51" s="27">
        <v>65.135099999999994</v>
      </c>
      <c r="D51" s="28">
        <f t="shared" si="2"/>
        <v>65135.099999999991</v>
      </c>
      <c r="E51" s="1" t="s">
        <v>26</v>
      </c>
      <c r="F51" s="29">
        <v>9.4453663588800012</v>
      </c>
      <c r="G51" s="30">
        <v>1.6172811665999998</v>
      </c>
      <c r="H51" s="101">
        <f t="shared" si="1"/>
        <v>0.39751304452487612</v>
      </c>
      <c r="I51" s="30"/>
    </row>
    <row r="52" spans="1:9">
      <c r="A52" s="1" t="s">
        <v>35</v>
      </c>
      <c r="B52" s="1" t="s">
        <v>36</v>
      </c>
      <c r="C52" s="27">
        <v>65.148016666666678</v>
      </c>
      <c r="D52" s="28">
        <f t="shared" si="2"/>
        <v>65148.016666666677</v>
      </c>
      <c r="E52" s="1" t="s">
        <v>26</v>
      </c>
      <c r="F52" s="29">
        <v>9.5281318482800028</v>
      </c>
      <c r="G52" s="30">
        <v>1.7000466560000014</v>
      </c>
      <c r="H52" s="101">
        <f t="shared" si="1"/>
        <v>0.51634801305303057</v>
      </c>
      <c r="I52" s="30"/>
    </row>
    <row r="53" spans="1:9">
      <c r="A53" s="1" t="s">
        <v>35</v>
      </c>
      <c r="B53" s="1" t="s">
        <v>36</v>
      </c>
      <c r="C53" s="27">
        <v>65.153183333333331</v>
      </c>
      <c r="D53" s="28">
        <f t="shared" si="2"/>
        <v>65153.183333333334</v>
      </c>
      <c r="E53" s="1" t="s">
        <v>26</v>
      </c>
      <c r="F53" s="29">
        <v>9.5347716396800024</v>
      </c>
      <c r="G53" s="30">
        <v>1.706686447400001</v>
      </c>
      <c r="H53" s="101">
        <f t="shared" si="1"/>
        <v>0.52588144791546554</v>
      </c>
      <c r="I53" s="30"/>
    </row>
    <row r="54" spans="1:9">
      <c r="A54" s="1" t="s">
        <v>35</v>
      </c>
      <c r="B54" s="1" t="s">
        <v>36</v>
      </c>
      <c r="C54" s="27">
        <v>65.16868333333332</v>
      </c>
      <c r="D54" s="28">
        <f t="shared" si="2"/>
        <v>65168.68333333332</v>
      </c>
      <c r="E54" s="1" t="s">
        <v>26</v>
      </c>
      <c r="F54" s="29">
        <v>9.904142300000002</v>
      </c>
      <c r="G54" s="30">
        <v>2.0760571077200005</v>
      </c>
      <c r="H54" s="101">
        <f t="shared" si="1"/>
        <v>1.0562250864604208</v>
      </c>
      <c r="I54" s="30"/>
    </row>
    <row r="55" spans="1:9">
      <c r="A55" s="1" t="s">
        <v>35</v>
      </c>
      <c r="B55" s="1" t="s">
        <v>36</v>
      </c>
      <c r="C55" s="27">
        <v>65.171266666666654</v>
      </c>
      <c r="D55" s="28">
        <f t="shared" si="2"/>
        <v>65171.266666666656</v>
      </c>
      <c r="E55" s="1" t="s">
        <v>26</v>
      </c>
      <c r="F55" s="29">
        <v>10.110255503000001</v>
      </c>
      <c r="G55" s="30">
        <v>2.2821703107199998</v>
      </c>
      <c r="H55" s="101">
        <f t="shared" si="1"/>
        <v>1.352163117749843</v>
      </c>
      <c r="I55" s="30"/>
    </row>
    <row r="56" spans="1:9">
      <c r="A56" s="1" t="s">
        <v>35</v>
      </c>
      <c r="B56" s="1" t="s">
        <v>36</v>
      </c>
      <c r="C56" s="27">
        <v>65.18934999999999</v>
      </c>
      <c r="D56" s="28">
        <f t="shared" si="2"/>
        <v>65189.349999999991</v>
      </c>
      <c r="E56" s="1" t="s">
        <v>26</v>
      </c>
      <c r="F56" s="29">
        <v>9.9258560482800018</v>
      </c>
      <c r="G56" s="30">
        <v>2.0977708560000004</v>
      </c>
      <c r="H56" s="101">
        <f t="shared" si="1"/>
        <v>1.0874017593972691</v>
      </c>
      <c r="I56" s="30"/>
    </row>
    <row r="57" spans="1:9">
      <c r="A57" s="1" t="s">
        <v>35</v>
      </c>
      <c r="B57" s="1" t="s">
        <v>36</v>
      </c>
      <c r="C57" s="27">
        <v>65.189866666666646</v>
      </c>
      <c r="D57" s="28">
        <f t="shared" si="2"/>
        <v>65189.866666666647</v>
      </c>
      <c r="E57" s="1" t="s">
        <v>26</v>
      </c>
      <c r="F57" s="29">
        <v>9.8540728633200025</v>
      </c>
      <c r="G57" s="30">
        <v>2.0259876710400011</v>
      </c>
      <c r="H57" s="101">
        <f t="shared" si="1"/>
        <v>0.98433522058487333</v>
      </c>
      <c r="I57" s="30"/>
    </row>
    <row r="58" spans="1:9">
      <c r="A58" s="1" t="s">
        <v>35</v>
      </c>
      <c r="B58" s="1" t="s">
        <v>36</v>
      </c>
      <c r="C58" s="27">
        <v>65.207433333333341</v>
      </c>
      <c r="D58" s="28">
        <f t="shared" si="2"/>
        <v>65207.433333333342</v>
      </c>
      <c r="E58" s="1" t="s">
        <v>26</v>
      </c>
      <c r="F58" s="29">
        <v>10.308060641880003</v>
      </c>
      <c r="G58" s="30">
        <v>2.4799754496000013</v>
      </c>
      <c r="H58" s="101">
        <f t="shared" si="1"/>
        <v>1.6361724025848305</v>
      </c>
      <c r="I58" s="30"/>
    </row>
    <row r="59" spans="1:9">
      <c r="A59" s="1" t="s">
        <v>35</v>
      </c>
      <c r="B59" s="1" t="s">
        <v>36</v>
      </c>
      <c r="C59" s="27">
        <v>65.210533333333316</v>
      </c>
      <c r="D59" s="28">
        <f t="shared" si="2"/>
        <v>65210.533333333318</v>
      </c>
      <c r="E59" s="1" t="s">
        <v>26</v>
      </c>
      <c r="F59" s="29">
        <v>10.205596092000002</v>
      </c>
      <c r="G59" s="30">
        <v>2.3775108997200007</v>
      </c>
      <c r="H59" s="101">
        <f t="shared" si="1"/>
        <v>1.4890534566508125</v>
      </c>
      <c r="I59" s="30"/>
    </row>
    <row r="60" spans="1:9">
      <c r="A60" s="1" t="s">
        <v>35</v>
      </c>
      <c r="B60" s="1" t="s">
        <v>36</v>
      </c>
      <c r="C60" s="27">
        <v>65.225236363636355</v>
      </c>
      <c r="D60" s="28">
        <f t="shared" si="2"/>
        <v>65225.236363636359</v>
      </c>
      <c r="E60" s="1" t="s">
        <v>26</v>
      </c>
      <c r="F60" s="29">
        <v>9.8779989586800028</v>
      </c>
      <c r="G60" s="30">
        <v>2.0499137664000013</v>
      </c>
      <c r="H60" s="101">
        <f t="shared" si="1"/>
        <v>1.0186883889128697</v>
      </c>
      <c r="I60" s="30"/>
    </row>
    <row r="61" spans="1:9">
      <c r="A61" s="1" t="s">
        <v>35</v>
      </c>
      <c r="B61" s="1" t="s">
        <v>36</v>
      </c>
      <c r="C61" s="27">
        <v>65.227836363636357</v>
      </c>
      <c r="D61" s="28">
        <f t="shared" si="2"/>
        <v>65227.836363636357</v>
      </c>
      <c r="E61" s="1" t="s">
        <v>26</v>
      </c>
      <c r="F61" s="29">
        <v>9.5688578857200035</v>
      </c>
      <c r="G61" s="30">
        <v>1.7407726934400021</v>
      </c>
      <c r="H61" s="101">
        <f t="shared" si="1"/>
        <v>0.574822594820668</v>
      </c>
      <c r="I61" s="30"/>
    </row>
    <row r="62" spans="1:9">
      <c r="A62" s="1" t="s">
        <v>35</v>
      </c>
      <c r="B62" s="1" t="s">
        <v>36</v>
      </c>
      <c r="C62" s="27">
        <v>65.233509090909081</v>
      </c>
      <c r="D62" s="28">
        <f t="shared" si="2"/>
        <v>65233.50909090908</v>
      </c>
      <c r="E62" s="1" t="s">
        <v>26</v>
      </c>
      <c r="F62" s="29">
        <v>9.153851567000002</v>
      </c>
      <c r="G62" s="30">
        <v>1.3257663747200006</v>
      </c>
      <c r="H62" s="101">
        <f t="shared" si="1"/>
        <v>-2.1044875807442017E-2</v>
      </c>
      <c r="I62" s="30"/>
    </row>
    <row r="63" spans="1:9">
      <c r="A63" s="1" t="s">
        <v>35</v>
      </c>
      <c r="B63" s="1" t="s">
        <v>36</v>
      </c>
      <c r="C63" s="27">
        <v>65.237527272727263</v>
      </c>
      <c r="D63" s="28">
        <f t="shared" si="2"/>
        <v>65237.52727272726</v>
      </c>
      <c r="E63" s="1" t="s">
        <v>26</v>
      </c>
      <c r="F63" s="29">
        <v>9.4139471577200027</v>
      </c>
      <c r="G63" s="30">
        <v>1.5858619654400012</v>
      </c>
      <c r="H63" s="101">
        <f t="shared" si="1"/>
        <v>0.35240124964400027</v>
      </c>
      <c r="I63" s="30"/>
    </row>
    <row r="64" spans="1:9">
      <c r="A64" s="1" t="s">
        <v>35</v>
      </c>
      <c r="B64" s="1" t="s">
        <v>36</v>
      </c>
      <c r="C64" s="27">
        <v>65.241545454545445</v>
      </c>
      <c r="D64" s="28">
        <f t="shared" si="2"/>
        <v>65241.545454545449</v>
      </c>
      <c r="E64" s="1" t="s">
        <v>26</v>
      </c>
      <c r="F64" s="29">
        <v>9.6002910028800024</v>
      </c>
      <c r="G64" s="30">
        <v>1.7722058106000009</v>
      </c>
      <c r="H64" s="101">
        <f t="shared" si="1"/>
        <v>0.61995437034122913</v>
      </c>
      <c r="I64" s="30"/>
    </row>
    <row r="65" spans="1:9">
      <c r="A65" s="1" t="s">
        <v>35</v>
      </c>
      <c r="B65" s="1" t="s">
        <v>36</v>
      </c>
      <c r="C65" s="27">
        <v>65.246981818181808</v>
      </c>
      <c r="D65" s="28">
        <f t="shared" si="2"/>
        <v>65246.981818181812</v>
      </c>
      <c r="E65" s="1" t="s">
        <v>26</v>
      </c>
      <c r="F65" s="29">
        <v>9.407309659520001</v>
      </c>
      <c r="G65" s="30">
        <v>1.5792244672399995</v>
      </c>
      <c r="H65" s="101">
        <f t="shared" si="1"/>
        <v>0.34287110736584842</v>
      </c>
      <c r="I65" s="30"/>
    </row>
    <row r="66" spans="1:9">
      <c r="A66" s="1" t="s">
        <v>35</v>
      </c>
      <c r="B66" s="1" t="s">
        <v>36</v>
      </c>
      <c r="C66" s="27">
        <v>65.256436363636354</v>
      </c>
      <c r="D66" s="28">
        <f t="shared" si="2"/>
        <v>65256.436363636356</v>
      </c>
      <c r="E66" s="1" t="s">
        <v>26</v>
      </c>
      <c r="F66" s="29">
        <v>9.2383171684800018</v>
      </c>
      <c r="G66" s="30">
        <v>1.4102319762000004</v>
      </c>
      <c r="H66" s="101">
        <f t="shared" si="1"/>
        <v>0.10023111937307122</v>
      </c>
      <c r="I66" s="30"/>
    </row>
    <row r="67" spans="1:9">
      <c r="A67" s="1" t="s">
        <v>35</v>
      </c>
      <c r="B67" s="1" t="s">
        <v>36</v>
      </c>
      <c r="C67" s="27">
        <v>65.265890909090899</v>
      </c>
      <c r="D67" s="28">
        <f t="shared" si="2"/>
        <v>65265.8909090909</v>
      </c>
      <c r="E67" s="1" t="s">
        <v>26</v>
      </c>
      <c r="F67" s="29">
        <v>9.8057825715200018</v>
      </c>
      <c r="G67" s="30">
        <v>1.9776973792400003</v>
      </c>
      <c r="H67" s="101">
        <f t="shared" ref="H67:H130" si="3">(F67-9.16850878)/0.696474198</f>
        <v>0.9149998569221971</v>
      </c>
      <c r="I67" s="30"/>
    </row>
    <row r="68" spans="1:9">
      <c r="A68" s="1" t="s">
        <v>35</v>
      </c>
      <c r="B68" s="1" t="s">
        <v>36</v>
      </c>
      <c r="C68" s="27">
        <v>65.275581818181806</v>
      </c>
      <c r="D68" s="28">
        <f t="shared" si="2"/>
        <v>65275.581818181803</v>
      </c>
      <c r="E68" s="1" t="s">
        <v>26</v>
      </c>
      <c r="F68" s="29">
        <v>9.1441238569200021</v>
      </c>
      <c r="G68" s="30">
        <v>1.3160386646400006</v>
      </c>
      <c r="H68" s="101">
        <f t="shared" si="3"/>
        <v>-3.501195471421862E-2</v>
      </c>
      <c r="I68" s="30"/>
    </row>
    <row r="69" spans="1:9">
      <c r="A69" s="1" t="s">
        <v>35</v>
      </c>
      <c r="B69" s="1" t="s">
        <v>36</v>
      </c>
      <c r="C69" s="27">
        <v>65.285036363636351</v>
      </c>
      <c r="D69" s="28">
        <f t="shared" si="2"/>
        <v>65285.036363636355</v>
      </c>
      <c r="E69" s="1" t="s">
        <v>26</v>
      </c>
      <c r="F69" s="29">
        <v>8.9880753920000025</v>
      </c>
      <c r="G69" s="30">
        <v>1.1599901997200011</v>
      </c>
      <c r="H69" s="101">
        <f t="shared" si="3"/>
        <v>-0.25906686639380333</v>
      </c>
      <c r="I69" s="30"/>
    </row>
    <row r="70" spans="1:9">
      <c r="A70" s="1" t="s">
        <v>35</v>
      </c>
      <c r="B70" s="1" t="s">
        <v>36</v>
      </c>
      <c r="C70" s="27">
        <v>65.294490909090896</v>
      </c>
      <c r="D70" s="28">
        <f t="shared" si="2"/>
        <v>65294.490909090899</v>
      </c>
      <c r="E70" s="1" t="s">
        <v>26</v>
      </c>
      <c r="F70" s="29">
        <v>9.1441238569200021</v>
      </c>
      <c r="G70" s="30">
        <v>1.3160386646400006</v>
      </c>
      <c r="H70" s="101">
        <f t="shared" si="3"/>
        <v>-3.501195471421862E-2</v>
      </c>
      <c r="I70" s="30"/>
    </row>
    <row r="71" spans="1:9">
      <c r="A71" s="1" t="s">
        <v>35</v>
      </c>
      <c r="B71" s="1" t="s">
        <v>36</v>
      </c>
      <c r="C71" s="27">
        <v>65.303945454545456</v>
      </c>
      <c r="D71" s="28">
        <f t="shared" si="2"/>
        <v>65303.945454545457</v>
      </c>
      <c r="E71" s="1" t="s">
        <v>26</v>
      </c>
      <c r="F71" s="29">
        <v>8.9969148000000008</v>
      </c>
      <c r="G71" s="30">
        <v>1.1688296077199993</v>
      </c>
      <c r="H71" s="101">
        <f t="shared" si="3"/>
        <v>-0.24637521460629763</v>
      </c>
      <c r="I71" s="30"/>
    </row>
    <row r="72" spans="1:9">
      <c r="A72" s="1" t="s">
        <v>35</v>
      </c>
      <c r="B72" s="1" t="s">
        <v>36</v>
      </c>
      <c r="C72" s="27">
        <v>65.313636363636363</v>
      </c>
      <c r="D72" s="28">
        <f t="shared" si="2"/>
        <v>65313.63636363636</v>
      </c>
      <c r="E72" s="1" t="s">
        <v>26</v>
      </c>
      <c r="F72" s="29">
        <v>9.0048704587200028</v>
      </c>
      <c r="G72" s="30">
        <v>1.1767852664400014</v>
      </c>
      <c r="H72" s="101">
        <f t="shared" si="3"/>
        <v>-0.23495245301247614</v>
      </c>
      <c r="I72" s="30"/>
    </row>
    <row r="73" spans="1:9">
      <c r="A73" s="1" t="s">
        <v>35</v>
      </c>
      <c r="B73" s="1" t="s">
        <v>36</v>
      </c>
      <c r="C73" s="27">
        <v>65.323090909090894</v>
      </c>
      <c r="D73" s="28">
        <f t="shared" si="2"/>
        <v>65323.090909090897</v>
      </c>
      <c r="E73" s="1" t="s">
        <v>26</v>
      </c>
      <c r="F73" s="29">
        <v>9.2321252787200017</v>
      </c>
      <c r="G73" s="30">
        <v>1.4040400864400002</v>
      </c>
      <c r="H73" s="101">
        <f t="shared" si="3"/>
        <v>9.1340783194385988E-2</v>
      </c>
      <c r="I73" s="30"/>
    </row>
    <row r="74" spans="1:9">
      <c r="A74" s="1" t="s">
        <v>35</v>
      </c>
      <c r="B74" s="1" t="s">
        <v>36</v>
      </c>
      <c r="C74" s="27">
        <v>65.334653846153842</v>
      </c>
      <c r="D74" s="28">
        <f t="shared" si="2"/>
        <v>65334.653846153844</v>
      </c>
      <c r="E74" s="1" t="s">
        <v>26</v>
      </c>
      <c r="F74" s="29">
        <v>8.8192856971200015</v>
      </c>
      <c r="G74" s="30">
        <v>0.99120050484000011</v>
      </c>
      <c r="H74" s="101">
        <f t="shared" si="3"/>
        <v>-0.50141567897680861</v>
      </c>
      <c r="I74" s="30"/>
    </row>
    <row r="75" spans="1:9">
      <c r="A75" s="1" t="s">
        <v>35</v>
      </c>
      <c r="B75" s="1" t="s">
        <v>36</v>
      </c>
      <c r="C75" s="27">
        <v>65.34959615384615</v>
      </c>
      <c r="D75" s="28">
        <f t="shared" si="2"/>
        <v>65349.596153846149</v>
      </c>
      <c r="E75" s="1" t="s">
        <v>26</v>
      </c>
      <c r="F75" s="29">
        <v>9.1383757920000015</v>
      </c>
      <c r="G75" s="30">
        <v>1.3102905997200001</v>
      </c>
      <c r="H75" s="101">
        <f t="shared" si="3"/>
        <v>-4.3265045692329161E-2</v>
      </c>
      <c r="I75" s="30"/>
    </row>
    <row r="76" spans="1:9">
      <c r="A76" s="1" t="s">
        <v>35</v>
      </c>
      <c r="B76" s="1" t="s">
        <v>36</v>
      </c>
      <c r="C76" s="27">
        <v>65.364538461538444</v>
      </c>
      <c r="D76" s="28">
        <f t="shared" si="2"/>
        <v>65364.538461538446</v>
      </c>
      <c r="E76" s="1" t="s">
        <v>26</v>
      </c>
      <c r="F76" s="29">
        <v>9.237432606080004</v>
      </c>
      <c r="G76" s="30">
        <v>1.4093474138000026</v>
      </c>
      <c r="H76" s="101">
        <f t="shared" si="3"/>
        <v>9.8961061698949318E-2</v>
      </c>
      <c r="I76" s="30"/>
    </row>
    <row r="77" spans="1:9">
      <c r="A77" s="1" t="s">
        <v>35</v>
      </c>
      <c r="B77" s="1" t="s">
        <v>36</v>
      </c>
      <c r="C77" s="27">
        <v>65.423903846153848</v>
      </c>
      <c r="D77" s="28">
        <f t="shared" si="2"/>
        <v>65423.903846153851</v>
      </c>
      <c r="E77" s="1" t="s">
        <v>26</v>
      </c>
      <c r="F77" s="29">
        <v>9.2622012000000016</v>
      </c>
      <c r="G77" s="30">
        <v>1.4341160077200001</v>
      </c>
      <c r="H77" s="101">
        <f t="shared" si="3"/>
        <v>0.13452389229787631</v>
      </c>
      <c r="I77" s="30"/>
    </row>
    <row r="78" spans="1:9">
      <c r="A78" s="1" t="s">
        <v>35</v>
      </c>
      <c r="B78" s="1" t="s">
        <v>36</v>
      </c>
      <c r="C78" s="27">
        <v>65.435924137931039</v>
      </c>
      <c r="D78" s="28">
        <f t="shared" si="2"/>
        <v>65435.924137931041</v>
      </c>
      <c r="E78" s="1" t="s">
        <v>26</v>
      </c>
      <c r="F78" s="29">
        <v>8.5485976230000027</v>
      </c>
      <c r="G78" s="30">
        <v>0.72051243072000126</v>
      </c>
      <c r="H78" s="101">
        <f t="shared" si="3"/>
        <v>-0.89007052778141416</v>
      </c>
      <c r="I78" s="30"/>
    </row>
    <row r="79" spans="1:9">
      <c r="A79" s="1" t="s">
        <v>35</v>
      </c>
      <c r="B79" s="1" t="s">
        <v>36</v>
      </c>
      <c r="C79" s="27">
        <v>65.441856896551712</v>
      </c>
      <c r="D79" s="28">
        <f t="shared" si="2"/>
        <v>65441.856896551712</v>
      </c>
      <c r="E79" s="1" t="s">
        <v>26</v>
      </c>
      <c r="F79" s="29">
        <v>8.7481710633200027</v>
      </c>
      <c r="G79" s="30">
        <v>0.92008587104000128</v>
      </c>
      <c r="H79" s="101">
        <f t="shared" si="3"/>
        <v>-0.60352230978124055</v>
      </c>
      <c r="I79" s="30"/>
    </row>
    <row r="80" spans="1:9">
      <c r="A80" s="1" t="s">
        <v>35</v>
      </c>
      <c r="B80" s="1" t="s">
        <v>36</v>
      </c>
      <c r="C80" s="27">
        <v>65.465587931034477</v>
      </c>
      <c r="D80" s="28">
        <f t="shared" si="2"/>
        <v>65465.587931034475</v>
      </c>
      <c r="E80" s="1" t="s">
        <v>26</v>
      </c>
      <c r="F80" s="29">
        <v>8.7971988531200029</v>
      </c>
      <c r="G80" s="30">
        <v>0.9691136608400015</v>
      </c>
      <c r="H80" s="101">
        <f t="shared" si="3"/>
        <v>-0.53312804400543901</v>
      </c>
      <c r="I80" s="30"/>
    </row>
    <row r="81" spans="1:9">
      <c r="A81" s="1" t="s">
        <v>35</v>
      </c>
      <c r="B81" s="1" t="s">
        <v>36</v>
      </c>
      <c r="C81" s="27">
        <v>65.477453448275867</v>
      </c>
      <c r="D81" s="28">
        <f t="shared" si="2"/>
        <v>65477.453448275868</v>
      </c>
      <c r="E81" s="1" t="s">
        <v>26</v>
      </c>
      <c r="F81" s="29">
        <v>9.0415572322800024</v>
      </c>
      <c r="G81" s="30">
        <v>1.213472040000001</v>
      </c>
      <c r="H81" s="101">
        <f t="shared" si="3"/>
        <v>-0.1822774599325464</v>
      </c>
      <c r="I81" s="30"/>
    </row>
    <row r="82" spans="1:9">
      <c r="A82" s="1" t="s">
        <v>35</v>
      </c>
      <c r="B82" s="1" t="s">
        <v>36</v>
      </c>
      <c r="C82" s="27">
        <v>65.483225862068963</v>
      </c>
      <c r="D82" s="28">
        <f t="shared" si="2"/>
        <v>65483.225862068961</v>
      </c>
      <c r="E82" s="1" t="s">
        <v>26</v>
      </c>
      <c r="F82" s="29">
        <v>9.1445660196800027</v>
      </c>
      <c r="G82" s="30">
        <v>1.3164808274000013</v>
      </c>
      <c r="H82" s="101">
        <f t="shared" si="3"/>
        <v>-3.4377095933706206E-2</v>
      </c>
      <c r="I82" s="30"/>
    </row>
    <row r="83" spans="1:9">
      <c r="A83" s="1" t="s">
        <v>35</v>
      </c>
      <c r="B83" s="1" t="s">
        <v>36</v>
      </c>
      <c r="C83" s="27">
        <v>65.489158620689651</v>
      </c>
      <c r="D83" s="28">
        <f t="shared" si="2"/>
        <v>65489.158620689654</v>
      </c>
      <c r="E83" s="1" t="s">
        <v>26</v>
      </c>
      <c r="F83" s="29">
        <v>8.7627461720000017</v>
      </c>
      <c r="G83" s="30">
        <v>0.93466097972000028</v>
      </c>
      <c r="H83" s="101">
        <f t="shared" si="3"/>
        <v>-0.58259531963307287</v>
      </c>
      <c r="I83" s="30"/>
    </row>
    <row r="84" spans="1:9">
      <c r="A84" s="1" t="s">
        <v>35</v>
      </c>
      <c r="B84" s="1" t="s">
        <v>36</v>
      </c>
      <c r="C84" s="27">
        <v>65.495091379310338</v>
      </c>
      <c r="D84" s="28">
        <f t="shared" si="2"/>
        <v>65495.091379310339</v>
      </c>
      <c r="E84" s="1" t="s">
        <v>26</v>
      </c>
      <c r="F84" s="29">
        <v>8.6099586892800026</v>
      </c>
      <c r="G84" s="30">
        <v>0.78187349700000119</v>
      </c>
      <c r="H84" s="101">
        <f t="shared" si="3"/>
        <v>-0.80196810208322633</v>
      </c>
      <c r="I84" s="30"/>
    </row>
    <row r="85" spans="1:9">
      <c r="A85" s="1" t="s">
        <v>35</v>
      </c>
      <c r="B85" s="1" t="s">
        <v>36</v>
      </c>
      <c r="C85" s="27">
        <v>65.50102413793104</v>
      </c>
      <c r="D85" s="28">
        <f t="shared" si="2"/>
        <v>65501.024137931039</v>
      </c>
      <c r="E85" s="1" t="s">
        <v>26</v>
      </c>
      <c r="F85" s="29">
        <v>8.6413055670000016</v>
      </c>
      <c r="G85" s="30">
        <v>0.81322037472000019</v>
      </c>
      <c r="H85" s="101">
        <f t="shared" si="3"/>
        <v>-0.75696014944116874</v>
      </c>
      <c r="I85" s="30"/>
    </row>
    <row r="86" spans="1:9">
      <c r="A86" s="1" t="s">
        <v>35</v>
      </c>
      <c r="B86" s="1" t="s">
        <v>36</v>
      </c>
      <c r="C86" s="27">
        <v>65.506956896551728</v>
      </c>
      <c r="D86" s="28">
        <f t="shared" si="2"/>
        <v>65506.956896551725</v>
      </c>
      <c r="E86" s="1" t="s">
        <v>26</v>
      </c>
      <c r="F86" s="29">
        <v>8.8837872940800029</v>
      </c>
      <c r="G86" s="30">
        <v>1.0557021018000015</v>
      </c>
      <c r="H86" s="101">
        <f t="shared" si="3"/>
        <v>-0.40880406874742103</v>
      </c>
      <c r="I86" s="30"/>
    </row>
    <row r="87" spans="1:9">
      <c r="A87" s="1" t="s">
        <v>35</v>
      </c>
      <c r="B87" s="1" t="s">
        <v>36</v>
      </c>
      <c r="C87" s="27">
        <v>65.512889655172415</v>
      </c>
      <c r="D87" s="28">
        <f t="shared" si="2"/>
        <v>65512.889655172417</v>
      </c>
      <c r="E87" s="1" t="s">
        <v>26</v>
      </c>
      <c r="F87" s="29">
        <v>8.8846709604800029</v>
      </c>
      <c r="G87" s="30">
        <v>1.0565857682000015</v>
      </c>
      <c r="H87" s="101">
        <f t="shared" si="3"/>
        <v>-0.40753529755311463</v>
      </c>
      <c r="I87" s="30"/>
    </row>
    <row r="88" spans="1:9">
      <c r="A88" s="1" t="s">
        <v>35</v>
      </c>
      <c r="B88" s="1" t="s">
        <v>36</v>
      </c>
      <c r="C88" s="27">
        <v>65.518822413793103</v>
      </c>
      <c r="D88" s="28">
        <f t="shared" si="2"/>
        <v>65518.822413793103</v>
      </c>
      <c r="E88" s="1" t="s">
        <v>26</v>
      </c>
      <c r="F88" s="29">
        <v>9.0481877836800031</v>
      </c>
      <c r="G88" s="30">
        <v>1.2201025914000017</v>
      </c>
      <c r="H88" s="101">
        <f t="shared" si="3"/>
        <v>-0.17275729189324068</v>
      </c>
      <c r="I88" s="30"/>
    </row>
    <row r="89" spans="1:9">
      <c r="A89" s="1" t="s">
        <v>35</v>
      </c>
      <c r="B89" s="1" t="s">
        <v>36</v>
      </c>
      <c r="C89" s="27">
        <v>65.524755172413791</v>
      </c>
      <c r="D89" s="28">
        <f t="shared" si="2"/>
        <v>65524.755172413788</v>
      </c>
      <c r="E89" s="1" t="s">
        <v>26</v>
      </c>
      <c r="F89" s="29">
        <v>8.6810451030000024</v>
      </c>
      <c r="G89" s="30">
        <v>0.85295991072000099</v>
      </c>
      <c r="H89" s="101">
        <f t="shared" si="3"/>
        <v>-0.69990198976473406</v>
      </c>
      <c r="I89" s="30"/>
    </row>
    <row r="90" spans="1:9">
      <c r="A90" s="1" t="s">
        <v>35</v>
      </c>
      <c r="B90" s="1" t="s">
        <v>36</v>
      </c>
      <c r="C90" s="27">
        <v>65.532426666666666</v>
      </c>
      <c r="D90" s="28">
        <f t="shared" si="2"/>
        <v>65532.426666666666</v>
      </c>
      <c r="E90" s="1" t="s">
        <v>26</v>
      </c>
      <c r="F90" s="29">
        <v>8.6232035044800028</v>
      </c>
      <c r="G90" s="30">
        <v>0.7951183122000014</v>
      </c>
      <c r="H90" s="101">
        <f t="shared" si="3"/>
        <v>-0.78295115179557162</v>
      </c>
      <c r="I90" s="30"/>
    </row>
    <row r="91" spans="1:9">
      <c r="A91" s="1" t="s">
        <v>35</v>
      </c>
      <c r="B91" s="1" t="s">
        <v>36</v>
      </c>
      <c r="C91" s="27">
        <v>65.54155333333334</v>
      </c>
      <c r="D91" s="28">
        <f t="shared" si="2"/>
        <v>65541.553333333344</v>
      </c>
      <c r="E91" s="1" t="s">
        <v>26</v>
      </c>
      <c r="F91" s="29">
        <v>8.7256470948800029</v>
      </c>
      <c r="G91" s="30">
        <v>0.89756190260000146</v>
      </c>
      <c r="H91" s="101">
        <f t="shared" si="3"/>
        <v>-0.63586229955355345</v>
      </c>
      <c r="I91" s="30"/>
    </row>
    <row r="92" spans="1:9">
      <c r="A92" s="1" t="s">
        <v>35</v>
      </c>
      <c r="B92" s="1" t="s">
        <v>36</v>
      </c>
      <c r="C92" s="27">
        <v>65.55068</v>
      </c>
      <c r="D92" s="28">
        <f t="shared" si="2"/>
        <v>65550.679999999993</v>
      </c>
      <c r="E92" s="1" t="s">
        <v>26</v>
      </c>
      <c r="F92" s="29">
        <v>8.6960589970800033</v>
      </c>
      <c r="G92" s="30">
        <v>0.86797380480000186</v>
      </c>
      <c r="H92" s="101">
        <f t="shared" si="3"/>
        <v>-0.67834499006091897</v>
      </c>
      <c r="I92" s="30"/>
    </row>
    <row r="93" spans="1:9">
      <c r="A93" s="1" t="s">
        <v>35</v>
      </c>
      <c r="B93" s="1" t="s">
        <v>36</v>
      </c>
      <c r="C93" s="27">
        <v>65.559806666666674</v>
      </c>
      <c r="D93" s="28">
        <f t="shared" si="2"/>
        <v>65559.806666666671</v>
      </c>
      <c r="E93" s="1" t="s">
        <v>26</v>
      </c>
      <c r="F93" s="29">
        <v>8.8784853427200012</v>
      </c>
      <c r="G93" s="30">
        <v>1.0504001504399998</v>
      </c>
      <c r="H93" s="101">
        <f t="shared" si="3"/>
        <v>-0.41641662837307086</v>
      </c>
      <c r="I93" s="30"/>
    </row>
    <row r="94" spans="1:9">
      <c r="A94" s="1" t="s">
        <v>35</v>
      </c>
      <c r="B94" s="1" t="s">
        <v>36</v>
      </c>
      <c r="C94" s="27">
        <v>65.568933333333334</v>
      </c>
      <c r="D94" s="28">
        <f t="shared" si="2"/>
        <v>65568.933333333334</v>
      </c>
      <c r="E94" s="1" t="s">
        <v>26</v>
      </c>
      <c r="F94" s="29">
        <v>8.8471171138800031</v>
      </c>
      <c r="G94" s="30">
        <v>1.0190319216000017</v>
      </c>
      <c r="H94" s="101">
        <f t="shared" si="3"/>
        <v>-0.46145523702515784</v>
      </c>
      <c r="I94" s="30"/>
    </row>
    <row r="95" spans="1:9">
      <c r="A95" s="1" t="s">
        <v>35</v>
      </c>
      <c r="B95" s="1" t="s">
        <v>36</v>
      </c>
      <c r="C95" s="27">
        <v>65.578059999999994</v>
      </c>
      <c r="D95" s="28">
        <f t="shared" si="2"/>
        <v>65578.06</v>
      </c>
      <c r="E95" s="1" t="s">
        <v>26</v>
      </c>
      <c r="F95" s="29">
        <v>8.5931826468800026</v>
      </c>
      <c r="G95" s="30">
        <v>0.76509745460000111</v>
      </c>
      <c r="H95" s="101">
        <f t="shared" si="3"/>
        <v>-0.82605520028180179</v>
      </c>
      <c r="I95" s="30"/>
    </row>
    <row r="96" spans="1:9">
      <c r="A96" s="1" t="s">
        <v>35</v>
      </c>
      <c r="B96" s="1" t="s">
        <v>36</v>
      </c>
      <c r="C96" s="27">
        <v>65.587186666666668</v>
      </c>
      <c r="D96" s="28">
        <f t="shared" si="2"/>
        <v>65587.186666666661</v>
      </c>
      <c r="E96" s="1" t="s">
        <v>26</v>
      </c>
      <c r="F96" s="29">
        <v>8.7711381778800011</v>
      </c>
      <c r="G96" s="30">
        <v>0.94305298559999962</v>
      </c>
      <c r="H96" s="101">
        <f t="shared" si="3"/>
        <v>-0.57054604931681729</v>
      </c>
      <c r="I96" s="30"/>
    </row>
    <row r="97" spans="1:9">
      <c r="A97" s="1" t="s">
        <v>35</v>
      </c>
      <c r="B97" s="1" t="s">
        <v>36</v>
      </c>
      <c r="C97" s="27">
        <v>65.596313333333327</v>
      </c>
      <c r="D97" s="28">
        <f t="shared" si="2"/>
        <v>65596.313333333324</v>
      </c>
      <c r="E97" s="1" t="s">
        <v>26</v>
      </c>
      <c r="F97" s="29">
        <v>8.9589069348800017</v>
      </c>
      <c r="G97" s="30">
        <v>1.1308217426000002</v>
      </c>
      <c r="H97" s="101">
        <f t="shared" si="3"/>
        <v>-0.30094703539900286</v>
      </c>
      <c r="I97" s="30"/>
    </row>
    <row r="98" spans="1:9">
      <c r="A98" s="1" t="s">
        <v>35</v>
      </c>
      <c r="B98" s="1" t="s">
        <v>36</v>
      </c>
      <c r="C98" s="27">
        <v>65.6122625</v>
      </c>
      <c r="D98" s="28">
        <f t="shared" si="2"/>
        <v>65612.262499999997</v>
      </c>
      <c r="E98" s="1" t="s">
        <v>26</v>
      </c>
      <c r="F98" s="29">
        <v>8.7777635884800027</v>
      </c>
      <c r="G98" s="30">
        <v>0.94967839620000127</v>
      </c>
      <c r="H98" s="101">
        <f t="shared" si="3"/>
        <v>-0.56103326245547014</v>
      </c>
      <c r="I98" s="30"/>
    </row>
    <row r="99" spans="1:9">
      <c r="A99" s="1" t="s">
        <v>35</v>
      </c>
      <c r="B99" s="1" t="s">
        <v>36</v>
      </c>
      <c r="C99" s="27">
        <v>65.636775000000014</v>
      </c>
      <c r="D99" s="28">
        <f t="shared" si="2"/>
        <v>65636.775000000009</v>
      </c>
      <c r="E99" s="1" t="s">
        <v>26</v>
      </c>
      <c r="F99" s="29">
        <v>8.9960308491200003</v>
      </c>
      <c r="G99" s="30">
        <v>1.1679456568399988</v>
      </c>
      <c r="H99" s="101">
        <f t="shared" si="3"/>
        <v>-0.24764439425794713</v>
      </c>
      <c r="I99" s="30"/>
    </row>
    <row r="100" spans="1:9">
      <c r="A100" s="1" t="s">
        <v>35</v>
      </c>
      <c r="B100" s="1" t="s">
        <v>36</v>
      </c>
      <c r="C100" s="27">
        <v>65.661287499999986</v>
      </c>
      <c r="D100" s="28">
        <f t="shared" si="2"/>
        <v>65661.287499999991</v>
      </c>
      <c r="E100" s="1" t="s">
        <v>26</v>
      </c>
      <c r="F100" s="29">
        <v>8.5909753330800029</v>
      </c>
      <c r="G100" s="30">
        <v>0.7628901408000015</v>
      </c>
      <c r="H100" s="101">
        <f t="shared" si="3"/>
        <v>-0.82922446887256673</v>
      </c>
      <c r="I100" s="30"/>
    </row>
    <row r="101" spans="1:9">
      <c r="A101" s="1" t="s">
        <v>35</v>
      </c>
      <c r="B101" s="1" t="s">
        <v>36</v>
      </c>
      <c r="C101" s="27">
        <v>65.685799999999972</v>
      </c>
      <c r="D101" s="28">
        <f t="shared" si="2"/>
        <v>65685.799999999974</v>
      </c>
      <c r="E101" s="1" t="s">
        <v>26</v>
      </c>
      <c r="F101" s="29">
        <v>8.8493260516800021</v>
      </c>
      <c r="G101" s="30">
        <v>1.0212408594000006</v>
      </c>
      <c r="H101" s="101">
        <f t="shared" si="3"/>
        <v>-0.45828363668972233</v>
      </c>
      <c r="I101" s="30"/>
    </row>
    <row r="102" spans="1:9">
      <c r="A102" s="1" t="s">
        <v>35</v>
      </c>
      <c r="B102" s="1" t="s">
        <v>36</v>
      </c>
      <c r="C102" s="27">
        <v>65.7079375</v>
      </c>
      <c r="D102" s="28">
        <f t="shared" si="2"/>
        <v>65707.9375</v>
      </c>
      <c r="E102" s="1" t="s">
        <v>26</v>
      </c>
      <c r="F102" s="29">
        <v>8.7720215586800023</v>
      </c>
      <c r="G102" s="30">
        <v>0.94393636640000089</v>
      </c>
      <c r="H102" s="101">
        <f t="shared" si="3"/>
        <v>-0.56927768818795133</v>
      </c>
      <c r="I102" s="30"/>
    </row>
    <row r="103" spans="1:9">
      <c r="A103" s="1" t="s">
        <v>35</v>
      </c>
      <c r="B103" s="1" t="s">
        <v>36</v>
      </c>
      <c r="C103" s="27">
        <v>65.715999999999994</v>
      </c>
      <c r="D103" s="28">
        <f t="shared" si="2"/>
        <v>65716</v>
      </c>
      <c r="E103" s="1" t="s">
        <v>26</v>
      </c>
      <c r="F103" s="29">
        <v>9.2179728000000019</v>
      </c>
      <c r="G103" s="30">
        <v>1.3898876077200004</v>
      </c>
      <c r="H103" s="101">
        <f t="shared" si="3"/>
        <v>7.1020606566680092E-2</v>
      </c>
      <c r="I103" s="30"/>
    </row>
    <row r="104" spans="1:9">
      <c r="A104" s="1" t="s">
        <v>35</v>
      </c>
      <c r="B104" s="1" t="s">
        <v>36</v>
      </c>
      <c r="C104" s="27">
        <v>65.724249999999998</v>
      </c>
      <c r="D104" s="28">
        <f t="shared" si="2"/>
        <v>65724.25</v>
      </c>
      <c r="E104" s="1" t="s">
        <v>26</v>
      </c>
      <c r="F104" s="29">
        <v>9.1140581030000014</v>
      </c>
      <c r="G104" s="30">
        <v>1.28597291072</v>
      </c>
      <c r="H104" s="101">
        <f t="shared" si="3"/>
        <v>-7.8180465487966852E-2</v>
      </c>
      <c r="I104" s="30"/>
    </row>
    <row r="105" spans="1:9">
      <c r="A105" s="1" t="s">
        <v>35</v>
      </c>
      <c r="B105" s="1" t="s">
        <v>36</v>
      </c>
      <c r="C105" s="27">
        <v>65.732312499999992</v>
      </c>
      <c r="D105" s="28">
        <f t="shared" si="2"/>
        <v>65732.312499999985</v>
      </c>
      <c r="E105" s="1" t="s">
        <v>26</v>
      </c>
      <c r="F105" s="29">
        <v>8.580821869920003</v>
      </c>
      <c r="G105" s="30">
        <v>0.75273667764000152</v>
      </c>
      <c r="H105" s="101">
        <f t="shared" si="3"/>
        <v>-0.84380284548602458</v>
      </c>
      <c r="I105" s="30"/>
    </row>
    <row r="106" spans="1:9">
      <c r="A106" s="1" t="s">
        <v>35</v>
      </c>
      <c r="B106" s="1" t="s">
        <v>36</v>
      </c>
      <c r="C106" s="27">
        <v>65.74862499999999</v>
      </c>
      <c r="D106" s="28">
        <f t="shared" ref="D106:D169" si="4">C106*1000</f>
        <v>65748.624999999985</v>
      </c>
      <c r="E106" s="1" t="s">
        <v>26</v>
      </c>
      <c r="F106" s="29">
        <v>8.776880193120002</v>
      </c>
      <c r="G106" s="30">
        <v>0.94879500084000057</v>
      </c>
      <c r="H106" s="101">
        <f t="shared" si="3"/>
        <v>-0.56230164448963238</v>
      </c>
      <c r="I106" s="30"/>
    </row>
    <row r="107" spans="1:9">
      <c r="A107" s="1" t="s">
        <v>35</v>
      </c>
      <c r="B107" s="1" t="s">
        <v>36</v>
      </c>
      <c r="C107" s="27">
        <v>65.893782608695659</v>
      </c>
      <c r="D107" s="28">
        <f t="shared" si="4"/>
        <v>65893.782608695663</v>
      </c>
      <c r="E107" s="1" t="s">
        <v>26</v>
      </c>
      <c r="F107" s="29">
        <v>8.2957630003200027</v>
      </c>
      <c r="G107" s="30">
        <v>0.46767780804000125</v>
      </c>
      <c r="H107" s="101">
        <f t="shared" si="3"/>
        <v>-1.2530913308578835</v>
      </c>
      <c r="I107" s="30"/>
    </row>
    <row r="108" spans="1:9">
      <c r="A108" s="1" t="s">
        <v>35</v>
      </c>
      <c r="B108" s="1" t="s">
        <v>36</v>
      </c>
      <c r="C108" s="27">
        <v>65.902391304347816</v>
      </c>
      <c r="D108" s="28">
        <f t="shared" si="4"/>
        <v>65902.39130434781</v>
      </c>
      <c r="E108" s="1" t="s">
        <v>26</v>
      </c>
      <c r="F108" s="29">
        <v>8.138771614080003</v>
      </c>
      <c r="G108" s="30">
        <v>0.31068642180000161</v>
      </c>
      <c r="H108" s="101">
        <f t="shared" si="3"/>
        <v>-1.4785000921455482</v>
      </c>
      <c r="I108" s="30"/>
    </row>
    <row r="109" spans="1:9">
      <c r="A109" s="1" t="s">
        <v>35</v>
      </c>
      <c r="B109" s="1" t="s">
        <v>36</v>
      </c>
      <c r="C109" s="27">
        <v>65.911000000000001</v>
      </c>
      <c r="D109" s="28">
        <f t="shared" si="4"/>
        <v>65911</v>
      </c>
      <c r="E109" s="1" t="s">
        <v>26</v>
      </c>
      <c r="F109" s="29">
        <v>8.0722040070000034</v>
      </c>
      <c r="G109" s="30">
        <v>0.24411881472000196</v>
      </c>
      <c r="H109" s="101">
        <f t="shared" si="3"/>
        <v>-1.5740780866658846</v>
      </c>
      <c r="I109" s="30"/>
    </row>
    <row r="110" spans="1:9">
      <c r="A110" s="1" t="s">
        <v>35</v>
      </c>
      <c r="B110" s="1" t="s">
        <v>36</v>
      </c>
      <c r="C110" s="27">
        <v>66.028699999999986</v>
      </c>
      <c r="D110" s="28">
        <f t="shared" si="4"/>
        <v>66028.699999999983</v>
      </c>
      <c r="E110" s="1" t="s">
        <v>26</v>
      </c>
      <c r="F110" s="29">
        <v>7.8280851922800014</v>
      </c>
      <c r="G110" s="30">
        <v>0</v>
      </c>
      <c r="H110" s="101">
        <f t="shared" si="3"/>
        <v>-1.9245847033087051</v>
      </c>
      <c r="I110" s="30"/>
    </row>
    <row r="111" spans="1:9">
      <c r="A111" s="1" t="s">
        <v>35</v>
      </c>
      <c r="B111" s="1" t="s">
        <v>36</v>
      </c>
      <c r="C111" s="27">
        <v>66.035299999999992</v>
      </c>
      <c r="D111" s="28">
        <f t="shared" si="4"/>
        <v>66035.299999999988</v>
      </c>
      <c r="E111" s="1" t="s">
        <v>26</v>
      </c>
      <c r="F111" s="29">
        <v>7.9968349156800018</v>
      </c>
      <c r="G111" s="30">
        <v>0.16874972340000038</v>
      </c>
      <c r="H111" s="101">
        <f t="shared" si="3"/>
        <v>-1.6822932819113536</v>
      </c>
      <c r="I111" s="30"/>
    </row>
    <row r="112" spans="1:9">
      <c r="A112" s="1" t="s">
        <v>35</v>
      </c>
      <c r="B112" s="1" t="s">
        <v>36</v>
      </c>
      <c r="C112" s="27">
        <v>66.041999999999987</v>
      </c>
      <c r="D112" s="28">
        <f t="shared" si="4"/>
        <v>66041.999999999985</v>
      </c>
      <c r="E112" s="1" t="s">
        <v>26</v>
      </c>
      <c r="F112" s="29">
        <v>7.9699528281200021</v>
      </c>
      <c r="G112" s="30">
        <v>0.14186763584000062</v>
      </c>
      <c r="H112" s="101">
        <f t="shared" si="3"/>
        <v>-1.7208906737992291</v>
      </c>
      <c r="I112" s="30"/>
    </row>
    <row r="113" spans="1:9">
      <c r="A113" s="1" t="s">
        <v>35</v>
      </c>
      <c r="B113" s="1" t="s">
        <v>36</v>
      </c>
      <c r="C113" s="27">
        <v>66.048699999999997</v>
      </c>
      <c r="D113" s="28">
        <f t="shared" si="4"/>
        <v>66048.7</v>
      </c>
      <c r="E113" s="1" t="s">
        <v>26</v>
      </c>
      <c r="F113" s="29">
        <v>8.3522266880000018</v>
      </c>
      <c r="G113" s="30">
        <v>0.52414149572000035</v>
      </c>
      <c r="H113" s="101">
        <f t="shared" si="3"/>
        <v>-1.1720205778534785</v>
      </c>
      <c r="I113" s="30"/>
    </row>
    <row r="114" spans="1:9">
      <c r="A114" s="1" t="s">
        <v>35</v>
      </c>
      <c r="B114" s="1" t="s">
        <v>36</v>
      </c>
      <c r="C114" s="27">
        <v>66.068699999999993</v>
      </c>
      <c r="D114" s="28">
        <f t="shared" si="4"/>
        <v>66068.7</v>
      </c>
      <c r="E114" s="1" t="s">
        <v>26</v>
      </c>
      <c r="F114" s="29">
        <v>8.6364488236800021</v>
      </c>
      <c r="G114" s="30">
        <v>0.80836363140000067</v>
      </c>
      <c r="H114" s="101">
        <f t="shared" si="3"/>
        <v>-0.76393347786302013</v>
      </c>
      <c r="I114" s="30"/>
    </row>
    <row r="115" spans="1:9">
      <c r="A115" s="1" t="s">
        <v>35</v>
      </c>
      <c r="B115" s="1" t="s">
        <v>36</v>
      </c>
      <c r="C115" s="27">
        <v>66.075299999999999</v>
      </c>
      <c r="D115" s="28">
        <f t="shared" si="4"/>
        <v>66075.3</v>
      </c>
      <c r="E115" s="1" t="s">
        <v>26</v>
      </c>
      <c r="F115" s="29">
        <v>8.5512460786800037</v>
      </c>
      <c r="G115" s="30">
        <v>0.72316088640000231</v>
      </c>
      <c r="H115" s="101">
        <f t="shared" si="3"/>
        <v>-0.88626786619307907</v>
      </c>
      <c r="I115" s="30"/>
    </row>
    <row r="116" spans="1:9">
      <c r="A116" s="1" t="s">
        <v>35</v>
      </c>
      <c r="B116" s="1" t="s">
        <v>36</v>
      </c>
      <c r="C116" s="27">
        <v>66.081999999999994</v>
      </c>
      <c r="D116" s="28">
        <f t="shared" si="4"/>
        <v>66082</v>
      </c>
      <c r="E116" s="1" t="s">
        <v>26</v>
      </c>
      <c r="F116" s="29">
        <v>9.0247603993200016</v>
      </c>
      <c r="G116" s="30">
        <v>1.1966752070400002</v>
      </c>
      <c r="H116" s="101">
        <f t="shared" si="3"/>
        <v>-0.20639440928721695</v>
      </c>
      <c r="I116" s="30"/>
    </row>
    <row r="117" spans="1:9">
      <c r="A117" s="1" t="s">
        <v>35</v>
      </c>
      <c r="B117" s="1" t="s">
        <v>36</v>
      </c>
      <c r="C117" s="27">
        <v>66.085300000000004</v>
      </c>
      <c r="D117" s="28">
        <f t="shared" si="4"/>
        <v>66085.3</v>
      </c>
      <c r="E117" s="1" t="s">
        <v>26</v>
      </c>
      <c r="F117" s="29">
        <v>8.3367864870000012</v>
      </c>
      <c r="G117" s="30">
        <v>0.50870129471999981</v>
      </c>
      <c r="H117" s="101">
        <f t="shared" si="3"/>
        <v>-1.1941896704693122</v>
      </c>
      <c r="I117" s="30"/>
    </row>
    <row r="118" spans="1:9">
      <c r="A118" s="1" t="s">
        <v>35</v>
      </c>
      <c r="B118" s="1" t="s">
        <v>36</v>
      </c>
      <c r="C118" s="27">
        <v>66.088699999999989</v>
      </c>
      <c r="D118" s="28">
        <f t="shared" si="4"/>
        <v>66088.699999999983</v>
      </c>
      <c r="E118" s="1" t="s">
        <v>26</v>
      </c>
      <c r="F118" s="29">
        <v>8.7976405762800027</v>
      </c>
      <c r="G118" s="30">
        <v>0.9695553840000013</v>
      </c>
      <c r="H118" s="101">
        <f t="shared" si="3"/>
        <v>-0.53249381640408888</v>
      </c>
      <c r="I118" s="30"/>
    </row>
    <row r="119" spans="1:9">
      <c r="A119" s="1" t="s">
        <v>35</v>
      </c>
      <c r="B119" s="1" t="s">
        <v>36</v>
      </c>
      <c r="C119" s="27">
        <v>66.091999999999999</v>
      </c>
      <c r="D119" s="28">
        <f t="shared" si="4"/>
        <v>66092</v>
      </c>
      <c r="E119" s="1" t="s">
        <v>26</v>
      </c>
      <c r="F119" s="29">
        <v>8.6845777257200023</v>
      </c>
      <c r="G119" s="30">
        <v>0.85649253344000087</v>
      </c>
      <c r="H119" s="101">
        <f t="shared" si="3"/>
        <v>-0.69482983816149568</v>
      </c>
      <c r="I119" s="30"/>
    </row>
    <row r="120" spans="1:9">
      <c r="A120" s="1" t="s">
        <v>35</v>
      </c>
      <c r="B120" s="1" t="s">
        <v>36</v>
      </c>
      <c r="C120" s="27">
        <v>66.096599999999995</v>
      </c>
      <c r="D120" s="28">
        <f t="shared" si="4"/>
        <v>66096.599999999991</v>
      </c>
      <c r="E120" s="1" t="s">
        <v>26</v>
      </c>
      <c r="F120" s="29">
        <v>9.2073588172800029</v>
      </c>
      <c r="G120" s="30">
        <v>1.3792736250000015</v>
      </c>
      <c r="H120" s="101">
        <f t="shared" si="3"/>
        <v>5.5781014417425896E-2</v>
      </c>
      <c r="I120" s="30"/>
    </row>
    <row r="121" spans="1:9">
      <c r="A121" s="1" t="s">
        <v>35</v>
      </c>
      <c r="B121" s="1" t="s">
        <v>36</v>
      </c>
      <c r="C121" s="27">
        <v>66.101100000000002</v>
      </c>
      <c r="D121" s="28">
        <f t="shared" si="4"/>
        <v>66101.100000000006</v>
      </c>
      <c r="E121" s="1" t="s">
        <v>26</v>
      </c>
      <c r="F121" s="29">
        <v>9.1741922002800038</v>
      </c>
      <c r="G121" s="30">
        <v>1.3461070080000024</v>
      </c>
      <c r="H121" s="101">
        <f t="shared" si="3"/>
        <v>8.160273986207332E-3</v>
      </c>
      <c r="I121" s="30"/>
    </row>
    <row r="122" spans="1:9">
      <c r="A122" s="1" t="s">
        <v>35</v>
      </c>
      <c r="B122" s="1" t="s">
        <v>36</v>
      </c>
      <c r="C122" s="27">
        <v>66.105699999999985</v>
      </c>
      <c r="D122" s="28">
        <f t="shared" si="4"/>
        <v>66105.699999999983</v>
      </c>
      <c r="E122" s="1" t="s">
        <v>26</v>
      </c>
      <c r="F122" s="29">
        <v>8.8665562470000019</v>
      </c>
      <c r="G122" s="30">
        <v>1.0384710547200005</v>
      </c>
      <c r="H122" s="101">
        <f t="shared" si="3"/>
        <v>-0.43354446419851139</v>
      </c>
      <c r="I122" s="30"/>
    </row>
    <row r="123" spans="1:9">
      <c r="A123" s="1" t="s">
        <v>35</v>
      </c>
      <c r="B123" s="1" t="s">
        <v>36</v>
      </c>
      <c r="C123" s="27">
        <v>66.110299999999995</v>
      </c>
      <c r="D123" s="28">
        <f t="shared" si="4"/>
        <v>66110.299999999988</v>
      </c>
      <c r="E123" s="1" t="s">
        <v>26</v>
      </c>
      <c r="F123" s="29">
        <v>8.8250285058800024</v>
      </c>
      <c r="G123" s="30">
        <v>0.99694331360000099</v>
      </c>
      <c r="H123" s="101">
        <f t="shared" si="3"/>
        <v>-0.49317013481093436</v>
      </c>
      <c r="I123" s="30"/>
    </row>
    <row r="124" spans="1:9">
      <c r="A124" s="1" t="s">
        <v>35</v>
      </c>
      <c r="B124" s="1" t="s">
        <v>36</v>
      </c>
      <c r="C124" s="27">
        <v>66.114899999999992</v>
      </c>
      <c r="D124" s="28">
        <f t="shared" si="4"/>
        <v>66114.899999999994</v>
      </c>
      <c r="E124" s="1" t="s">
        <v>26</v>
      </c>
      <c r="F124" s="29">
        <v>8.7358047826800007</v>
      </c>
      <c r="G124" s="30">
        <v>0.90771959039999928</v>
      </c>
      <c r="H124" s="101">
        <f t="shared" si="3"/>
        <v>-0.62127785718775341</v>
      </c>
      <c r="I124" s="30"/>
    </row>
    <row r="125" spans="1:9">
      <c r="A125" s="1" t="s">
        <v>35</v>
      </c>
      <c r="B125" s="1" t="s">
        <v>36</v>
      </c>
      <c r="C125" s="27">
        <v>66.119399999999985</v>
      </c>
      <c r="D125" s="28">
        <f t="shared" si="4"/>
        <v>66119.39999999998</v>
      </c>
      <c r="E125" s="1" t="s">
        <v>26</v>
      </c>
      <c r="F125" s="29">
        <v>8.9491846579200018</v>
      </c>
      <c r="G125" s="30">
        <v>1.1210994656400004</v>
      </c>
      <c r="H125" s="101">
        <f t="shared" si="3"/>
        <v>-0.31490631341377839</v>
      </c>
      <c r="I125" s="30"/>
    </row>
    <row r="126" spans="1:9">
      <c r="A126" s="1" t="s">
        <v>35</v>
      </c>
      <c r="B126" s="1" t="s">
        <v>36</v>
      </c>
      <c r="C126" s="27">
        <v>66.123999999999995</v>
      </c>
      <c r="D126" s="28">
        <f t="shared" si="4"/>
        <v>66124</v>
      </c>
      <c r="E126" s="1" t="s">
        <v>26</v>
      </c>
      <c r="F126" s="29">
        <v>9.0941630720000024</v>
      </c>
      <c r="G126" s="30">
        <v>1.266077879720001</v>
      </c>
      <c r="H126" s="101">
        <f t="shared" si="3"/>
        <v>-0.10674581802669653</v>
      </c>
      <c r="I126" s="30"/>
    </row>
    <row r="127" spans="1:9">
      <c r="A127" s="1" t="s">
        <v>35</v>
      </c>
      <c r="B127" s="1" t="s">
        <v>36</v>
      </c>
      <c r="C127" s="27">
        <v>66.128600000000006</v>
      </c>
      <c r="D127" s="28">
        <f t="shared" si="4"/>
        <v>66128.600000000006</v>
      </c>
      <c r="E127" s="1" t="s">
        <v>26</v>
      </c>
      <c r="F127" s="29">
        <v>8.5812633186800014</v>
      </c>
      <c r="G127" s="30">
        <v>0.75317812639999993</v>
      </c>
      <c r="H127" s="101">
        <f t="shared" si="3"/>
        <v>-0.84316901186912085</v>
      </c>
      <c r="I127" s="30"/>
    </row>
    <row r="128" spans="1:9">
      <c r="A128" s="1" t="s">
        <v>35</v>
      </c>
      <c r="B128" s="1" t="s">
        <v>36</v>
      </c>
      <c r="C128" s="27">
        <v>66.133099999999999</v>
      </c>
      <c r="D128" s="28">
        <f t="shared" si="4"/>
        <v>66133.100000000006</v>
      </c>
      <c r="E128" s="1" t="s">
        <v>26</v>
      </c>
      <c r="F128" s="29">
        <v>9.716308061280003</v>
      </c>
      <c r="G128" s="30">
        <v>1.8882228690000016</v>
      </c>
      <c r="H128" s="101">
        <f t="shared" si="3"/>
        <v>0.78653205366841639</v>
      </c>
      <c r="I128" s="30"/>
    </row>
    <row r="129" spans="1:9">
      <c r="A129" s="1" t="s">
        <v>35</v>
      </c>
      <c r="B129" s="1" t="s">
        <v>36</v>
      </c>
      <c r="C129" s="27">
        <v>66.137699999999995</v>
      </c>
      <c r="D129" s="28">
        <f t="shared" si="4"/>
        <v>66137.7</v>
      </c>
      <c r="E129" s="1" t="s">
        <v>26</v>
      </c>
      <c r="F129" s="29">
        <v>9.350674800000002</v>
      </c>
      <c r="G129" s="30">
        <v>1.5225896077200005</v>
      </c>
      <c r="H129" s="101">
        <f t="shared" si="3"/>
        <v>0.26155458525687142</v>
      </c>
      <c r="I129" s="30"/>
    </row>
    <row r="130" spans="1:9">
      <c r="A130" s="1" t="s">
        <v>35</v>
      </c>
      <c r="B130" s="1" t="s">
        <v>36</v>
      </c>
      <c r="C130" s="27">
        <v>66.142299999999992</v>
      </c>
      <c r="D130" s="28">
        <f t="shared" si="4"/>
        <v>66142.299999999988</v>
      </c>
      <c r="E130" s="1" t="s">
        <v>26</v>
      </c>
      <c r="F130" s="29">
        <v>9.5471662540800022</v>
      </c>
      <c r="G130" s="30">
        <v>1.7190810618000008</v>
      </c>
      <c r="H130" s="101">
        <f t="shared" si="3"/>
        <v>0.54367767703004322</v>
      </c>
      <c r="I130" s="30"/>
    </row>
    <row r="131" spans="1:9">
      <c r="A131" s="1" t="s">
        <v>35</v>
      </c>
      <c r="B131" s="1" t="s">
        <v>36</v>
      </c>
      <c r="C131" s="27">
        <v>66.146899999999988</v>
      </c>
      <c r="D131" s="28">
        <f t="shared" si="4"/>
        <v>66146.899999999994</v>
      </c>
      <c r="E131" s="1" t="s">
        <v>26</v>
      </c>
      <c r="F131" s="29">
        <v>9.3201488770800029</v>
      </c>
      <c r="G131" s="30">
        <v>1.4920636848000015</v>
      </c>
      <c r="H131" s="101">
        <f t="shared" ref="H131:H176" si="5">(F131-9.16850878)/0.696474198</f>
        <v>0.21772536228255673</v>
      </c>
      <c r="I131" s="30"/>
    </row>
    <row r="132" spans="1:9">
      <c r="A132" s="1" t="s">
        <v>35</v>
      </c>
      <c r="B132" s="1" t="s">
        <v>36</v>
      </c>
      <c r="C132" s="27">
        <v>66.151399999999995</v>
      </c>
      <c r="D132" s="28">
        <f t="shared" si="4"/>
        <v>66151.399999999994</v>
      </c>
      <c r="E132" s="1" t="s">
        <v>26</v>
      </c>
      <c r="F132" s="29">
        <v>8.4404695680000028</v>
      </c>
      <c r="G132" s="30">
        <v>0.61238437572000137</v>
      </c>
      <c r="H132" s="101">
        <f t="shared" si="5"/>
        <v>-1.045321153447808</v>
      </c>
      <c r="I132" s="30"/>
    </row>
    <row r="133" spans="1:9">
      <c r="A133" s="1" t="s">
        <v>35</v>
      </c>
      <c r="B133" s="1" t="s">
        <v>36</v>
      </c>
      <c r="C133" s="27">
        <v>66.155999999999992</v>
      </c>
      <c r="D133" s="28">
        <f t="shared" si="4"/>
        <v>66155.999999999985</v>
      </c>
      <c r="E133" s="1" t="s">
        <v>26</v>
      </c>
      <c r="F133" s="29">
        <v>9.4670516793200026</v>
      </c>
      <c r="G133" s="30">
        <v>1.6389664870400011</v>
      </c>
      <c r="H133" s="101">
        <f t="shared" si="5"/>
        <v>0.42864890067327777</v>
      </c>
      <c r="I133" s="30"/>
    </row>
    <row r="134" spans="1:9">
      <c r="A134" s="1" t="s">
        <v>35</v>
      </c>
      <c r="B134" s="1" t="s">
        <v>36</v>
      </c>
      <c r="C134" s="27">
        <v>66.160600000000002</v>
      </c>
      <c r="D134" s="28">
        <f t="shared" si="4"/>
        <v>66160.600000000006</v>
      </c>
      <c r="E134" s="1" t="s">
        <v>26</v>
      </c>
      <c r="F134" s="29">
        <v>8.9262058080000024</v>
      </c>
      <c r="G134" s="30">
        <v>1.098120615720001</v>
      </c>
      <c r="H134" s="101">
        <f t="shared" si="5"/>
        <v>-0.34789942354762926</v>
      </c>
      <c r="I134" s="30"/>
    </row>
    <row r="135" spans="1:9">
      <c r="A135" s="1" t="s">
        <v>35</v>
      </c>
      <c r="B135" s="1" t="s">
        <v>36</v>
      </c>
      <c r="C135" s="27">
        <v>66.165099999999995</v>
      </c>
      <c r="D135" s="28">
        <f t="shared" si="4"/>
        <v>66165.099999999991</v>
      </c>
      <c r="E135" s="1" t="s">
        <v>26</v>
      </c>
      <c r="F135" s="29">
        <v>9.8310344630000035</v>
      </c>
      <c r="G135" s="30">
        <v>2.0029492707200021</v>
      </c>
      <c r="H135" s="101">
        <f t="shared" si="5"/>
        <v>0.95125660778607002</v>
      </c>
      <c r="I135" s="30"/>
    </row>
    <row r="136" spans="1:9">
      <c r="A136" s="1" t="s">
        <v>35</v>
      </c>
      <c r="B136" s="1" t="s">
        <v>36</v>
      </c>
      <c r="C136" s="27">
        <v>66.169699999999992</v>
      </c>
      <c r="D136" s="28">
        <f t="shared" si="4"/>
        <v>66169.7</v>
      </c>
      <c r="E136" s="1" t="s">
        <v>26</v>
      </c>
      <c r="F136" s="29">
        <v>9.6078176610800039</v>
      </c>
      <c r="G136" s="30">
        <v>1.7797324688000025</v>
      </c>
      <c r="H136" s="101">
        <f t="shared" si="5"/>
        <v>0.63076117154307576</v>
      </c>
      <c r="I136" s="30"/>
    </row>
    <row r="137" spans="1:9">
      <c r="A137" s="1" t="s">
        <v>35</v>
      </c>
      <c r="B137" s="1" t="s">
        <v>36</v>
      </c>
      <c r="C137" s="27">
        <v>66.178899999999985</v>
      </c>
      <c r="D137" s="28">
        <f t="shared" si="4"/>
        <v>66178.89999999998</v>
      </c>
      <c r="E137" s="1" t="s">
        <v>26</v>
      </c>
      <c r="F137" s="29">
        <v>9.7229514226800013</v>
      </c>
      <c r="G137" s="30">
        <v>1.8948662303999999</v>
      </c>
      <c r="H137" s="101">
        <f t="shared" si="5"/>
        <v>0.79607061434887716</v>
      </c>
      <c r="I137" s="30"/>
    </row>
    <row r="138" spans="1:9">
      <c r="A138" s="1" t="s">
        <v>35</v>
      </c>
      <c r="B138" s="1" t="s">
        <v>36</v>
      </c>
      <c r="C138" s="27">
        <v>66.183399999999992</v>
      </c>
      <c r="D138" s="28">
        <f t="shared" si="4"/>
        <v>66183.399999999994</v>
      </c>
      <c r="E138" s="1" t="s">
        <v>26</v>
      </c>
      <c r="F138" s="29">
        <v>9.6906215827200022</v>
      </c>
      <c r="G138" s="30">
        <v>1.8625363904400007</v>
      </c>
      <c r="H138" s="101">
        <f t="shared" si="5"/>
        <v>0.74965132121090061</v>
      </c>
      <c r="I138" s="30"/>
    </row>
    <row r="139" spans="1:9">
      <c r="A139" s="1" t="s">
        <v>35</v>
      </c>
      <c r="B139" s="1" t="s">
        <v>36</v>
      </c>
      <c r="C139" s="27">
        <v>66.187999999999988</v>
      </c>
      <c r="D139" s="28">
        <f t="shared" si="4"/>
        <v>66187.999999999985</v>
      </c>
      <c r="E139" s="1" t="s">
        <v>26</v>
      </c>
      <c r="F139" s="29">
        <v>9.3989023426800014</v>
      </c>
      <c r="G139" s="30">
        <v>1.5708171503999999</v>
      </c>
      <c r="H139" s="101">
        <f t="shared" si="5"/>
        <v>0.33079985352163982</v>
      </c>
      <c r="I139" s="30"/>
    </row>
    <row r="140" spans="1:9">
      <c r="A140" s="1" t="s">
        <v>35</v>
      </c>
      <c r="B140" s="1" t="s">
        <v>36</v>
      </c>
      <c r="C140" s="27">
        <v>66.190899999999985</v>
      </c>
      <c r="D140" s="28">
        <f t="shared" si="4"/>
        <v>66190.89999999998</v>
      </c>
      <c r="E140" s="1" t="s">
        <v>26</v>
      </c>
      <c r="F140" s="29">
        <v>9.600733743000001</v>
      </c>
      <c r="G140" s="30">
        <v>1.7726485507199996</v>
      </c>
      <c r="H140" s="101">
        <f t="shared" si="5"/>
        <v>0.62059005809717194</v>
      </c>
      <c r="I140" s="30"/>
    </row>
    <row r="141" spans="1:9">
      <c r="A141" s="1" t="s">
        <v>35</v>
      </c>
      <c r="B141" s="1" t="s">
        <v>36</v>
      </c>
      <c r="C141" s="27">
        <v>66.193899999999985</v>
      </c>
      <c r="D141" s="28">
        <f t="shared" si="4"/>
        <v>66193.89999999998</v>
      </c>
      <c r="E141" s="1" t="s">
        <v>26</v>
      </c>
      <c r="F141" s="29">
        <v>10.565906605920002</v>
      </c>
      <c r="G141" s="30">
        <v>2.7378214136400008</v>
      </c>
      <c r="H141" s="101">
        <f t="shared" si="5"/>
        <v>2.0063885064698441</v>
      </c>
      <c r="I141" s="30"/>
    </row>
    <row r="142" spans="1:9">
      <c r="A142" s="1" t="s">
        <v>35</v>
      </c>
      <c r="B142" s="1" t="s">
        <v>36</v>
      </c>
      <c r="C142" s="27">
        <v>66.196799999999996</v>
      </c>
      <c r="D142" s="28">
        <f t="shared" si="4"/>
        <v>66196.800000000003</v>
      </c>
      <c r="E142" s="1" t="s">
        <v>26</v>
      </c>
      <c r="F142" s="29">
        <v>9.4582003657200016</v>
      </c>
      <c r="G142" s="30">
        <v>1.6301151734400001</v>
      </c>
      <c r="H142" s="101">
        <f t="shared" si="5"/>
        <v>0.41594015478517665</v>
      </c>
      <c r="I142" s="30"/>
    </row>
    <row r="143" spans="1:9">
      <c r="A143" s="1" t="s">
        <v>35</v>
      </c>
      <c r="B143" s="1" t="s">
        <v>36</v>
      </c>
      <c r="C143" s="27">
        <v>66.199799999999996</v>
      </c>
      <c r="D143" s="28">
        <f t="shared" si="4"/>
        <v>66199.8</v>
      </c>
      <c r="E143" s="1" t="s">
        <v>26</v>
      </c>
      <c r="F143" s="29">
        <v>9.8257181241200016</v>
      </c>
      <c r="G143" s="30">
        <v>1.9976329318400001</v>
      </c>
      <c r="H143" s="101">
        <f t="shared" si="5"/>
        <v>0.94362339051073041</v>
      </c>
      <c r="I143" s="30"/>
    </row>
    <row r="144" spans="1:9">
      <c r="A144" s="1" t="s">
        <v>35</v>
      </c>
      <c r="B144" s="1" t="s">
        <v>36</v>
      </c>
      <c r="C144" s="27">
        <v>66.202699999999993</v>
      </c>
      <c r="D144" s="28">
        <f t="shared" si="4"/>
        <v>66202.7</v>
      </c>
      <c r="E144" s="1" t="s">
        <v>26</v>
      </c>
      <c r="F144" s="29">
        <v>9.7597136332800023</v>
      </c>
      <c r="G144" s="30">
        <v>1.9316284410000009</v>
      </c>
      <c r="H144" s="101">
        <f t="shared" si="5"/>
        <v>0.84885392018499806</v>
      </c>
      <c r="I144" s="30"/>
    </row>
    <row r="145" spans="1:9">
      <c r="A145" s="1" t="s">
        <v>35</v>
      </c>
      <c r="B145" s="1" t="s">
        <v>36</v>
      </c>
      <c r="C145" s="27">
        <v>66.205600000000004</v>
      </c>
      <c r="D145" s="28">
        <f t="shared" si="4"/>
        <v>66205.600000000006</v>
      </c>
      <c r="E145" s="1" t="s">
        <v>26</v>
      </c>
      <c r="F145" s="29">
        <v>9.6733506994800038</v>
      </c>
      <c r="G145" s="30">
        <v>1.8452655072000024</v>
      </c>
      <c r="H145" s="101">
        <f t="shared" si="5"/>
        <v>0.72485372886707289</v>
      </c>
      <c r="I145" s="30"/>
    </row>
    <row r="146" spans="1:9">
      <c r="A146" s="1" t="s">
        <v>35</v>
      </c>
      <c r="B146" s="1" t="s">
        <v>36</v>
      </c>
      <c r="C146" s="27">
        <v>66.208600000000004</v>
      </c>
      <c r="D146" s="28">
        <f t="shared" si="4"/>
        <v>66208.600000000006</v>
      </c>
      <c r="E146" s="1" t="s">
        <v>26</v>
      </c>
      <c r="F146" s="29">
        <v>9.7326952473200024</v>
      </c>
      <c r="G146" s="30">
        <v>1.9046100550400009</v>
      </c>
      <c r="H146" s="101">
        <f t="shared" si="5"/>
        <v>0.8100608305951954</v>
      </c>
      <c r="I146" s="30"/>
    </row>
    <row r="147" spans="1:9">
      <c r="A147" s="1" t="s">
        <v>35</v>
      </c>
      <c r="B147" s="1" t="s">
        <v>36</v>
      </c>
      <c r="C147" s="27">
        <v>66.211500000000001</v>
      </c>
      <c r="D147" s="28">
        <f t="shared" si="4"/>
        <v>66211.5</v>
      </c>
      <c r="E147" s="1" t="s">
        <v>26</v>
      </c>
      <c r="F147" s="29">
        <v>9.4413834870000013</v>
      </c>
      <c r="G147" s="30">
        <v>1.6132982947199999</v>
      </c>
      <c r="H147" s="101">
        <f t="shared" si="5"/>
        <v>0.39179442366076206</v>
      </c>
      <c r="I147" s="30"/>
    </row>
    <row r="148" spans="1:9">
      <c r="A148" s="1" t="s">
        <v>35</v>
      </c>
      <c r="B148" s="1" t="s">
        <v>36</v>
      </c>
      <c r="C148" s="27">
        <v>66.217399999999984</v>
      </c>
      <c r="D148" s="28">
        <f t="shared" si="4"/>
        <v>66217.39999999998</v>
      </c>
      <c r="E148" s="1" t="s">
        <v>26</v>
      </c>
      <c r="F148" s="29">
        <v>9.224606703000001</v>
      </c>
      <c r="G148" s="30">
        <v>1.3965215107199995</v>
      </c>
      <c r="H148" s="101">
        <f t="shared" si="5"/>
        <v>8.0545586844555525E-2</v>
      </c>
      <c r="I148" s="30"/>
    </row>
    <row r="149" spans="1:9">
      <c r="A149" s="1" t="s">
        <v>35</v>
      </c>
      <c r="B149" s="1" t="s">
        <v>36</v>
      </c>
      <c r="C149" s="27">
        <v>66.223299999999995</v>
      </c>
      <c r="D149" s="28">
        <f t="shared" si="4"/>
        <v>66223.299999999988</v>
      </c>
      <c r="E149" s="1" t="s">
        <v>26</v>
      </c>
      <c r="F149" s="29">
        <v>8.8139847268800011</v>
      </c>
      <c r="G149" s="30">
        <v>0.98589953459999968</v>
      </c>
      <c r="H149" s="101">
        <f t="shared" si="5"/>
        <v>-0.50902682990705517</v>
      </c>
      <c r="I149" s="30"/>
    </row>
    <row r="150" spans="1:9">
      <c r="A150" s="1" t="s">
        <v>35</v>
      </c>
      <c r="B150" s="1" t="s">
        <v>36</v>
      </c>
      <c r="C150" s="27">
        <v>66.229199999999992</v>
      </c>
      <c r="D150" s="28">
        <f t="shared" si="4"/>
        <v>66229.2</v>
      </c>
      <c r="E150" s="1" t="s">
        <v>26</v>
      </c>
      <c r="F150" s="29">
        <v>9.3210336489200021</v>
      </c>
      <c r="G150" s="30">
        <v>1.4929484566400006</v>
      </c>
      <c r="H150" s="101">
        <f t="shared" si="5"/>
        <v>0.21899572067133818</v>
      </c>
      <c r="I150" s="30"/>
    </row>
    <row r="151" spans="1:9">
      <c r="A151" s="1" t="s">
        <v>35</v>
      </c>
      <c r="B151" s="1" t="s">
        <v>36</v>
      </c>
      <c r="C151" s="27">
        <v>66.235100000000003</v>
      </c>
      <c r="D151" s="28">
        <f t="shared" si="4"/>
        <v>66235.100000000006</v>
      </c>
      <c r="E151" s="1" t="s">
        <v>26</v>
      </c>
      <c r="F151" s="29">
        <v>9.1109632459200025</v>
      </c>
      <c r="G151" s="30">
        <v>1.2828780536400011</v>
      </c>
      <c r="H151" s="101">
        <f t="shared" si="5"/>
        <v>-8.2624071710402827E-2</v>
      </c>
      <c r="I151" s="30"/>
    </row>
    <row r="152" spans="1:9">
      <c r="A152" s="1" t="s">
        <v>35</v>
      </c>
      <c r="B152" s="1" t="s">
        <v>36</v>
      </c>
      <c r="C152" s="27">
        <v>66.240899999999982</v>
      </c>
      <c r="D152" s="28">
        <f t="shared" si="4"/>
        <v>66240.89999999998</v>
      </c>
      <c r="E152" s="1" t="s">
        <v>26</v>
      </c>
      <c r="F152" s="29">
        <v>9.0950472715200021</v>
      </c>
      <c r="G152" s="30">
        <v>1.2669620792400007</v>
      </c>
      <c r="H152" s="101">
        <f t="shared" si="5"/>
        <v>-0.10547628137689842</v>
      </c>
      <c r="I152" s="30"/>
    </row>
    <row r="153" spans="1:9">
      <c r="A153" s="1" t="s">
        <v>35</v>
      </c>
      <c r="B153" s="1" t="s">
        <v>36</v>
      </c>
      <c r="C153" s="27">
        <v>66.246799999999993</v>
      </c>
      <c r="D153" s="28">
        <f t="shared" si="4"/>
        <v>66246.799999999988</v>
      </c>
      <c r="E153" s="1" t="s">
        <v>26</v>
      </c>
      <c r="F153" s="29">
        <v>9.6219859273200026</v>
      </c>
      <c r="G153" s="30">
        <v>1.7939007350400011</v>
      </c>
      <c r="H153" s="101">
        <f t="shared" si="5"/>
        <v>0.65110401594518619</v>
      </c>
      <c r="I153" s="30"/>
    </row>
    <row r="154" spans="1:9">
      <c r="A154" s="1" t="s">
        <v>35</v>
      </c>
      <c r="B154" s="1" t="s">
        <v>36</v>
      </c>
      <c r="C154" s="27">
        <v>66.25269999999999</v>
      </c>
      <c r="D154" s="28">
        <f t="shared" si="4"/>
        <v>66252.7</v>
      </c>
      <c r="E154" s="1" t="s">
        <v>26</v>
      </c>
      <c r="F154" s="29">
        <v>9.8266041750000017</v>
      </c>
      <c r="G154" s="30">
        <v>1.9985189827200003</v>
      </c>
      <c r="H154" s="101">
        <f t="shared" si="5"/>
        <v>0.94489558534945461</v>
      </c>
      <c r="I154" s="30"/>
    </row>
    <row r="155" spans="1:9">
      <c r="A155" s="1" t="s">
        <v>35</v>
      </c>
      <c r="B155" s="1" t="s">
        <v>36</v>
      </c>
      <c r="C155" s="27">
        <v>66.258600000000001</v>
      </c>
      <c r="D155" s="28">
        <f t="shared" si="4"/>
        <v>66258.600000000006</v>
      </c>
      <c r="E155" s="1" t="s">
        <v>26</v>
      </c>
      <c r="F155" s="29">
        <v>9.3179369572800024</v>
      </c>
      <c r="G155" s="30">
        <v>1.4898517650000009</v>
      </c>
      <c r="H155" s="101">
        <f t="shared" si="5"/>
        <v>0.21454948038147217</v>
      </c>
      <c r="I155" s="30"/>
    </row>
    <row r="156" spans="1:9">
      <c r="A156" s="1" t="s">
        <v>35</v>
      </c>
      <c r="B156" s="1" t="s">
        <v>36</v>
      </c>
      <c r="C156" s="27">
        <v>66.264499999999998</v>
      </c>
      <c r="D156" s="28">
        <f t="shared" si="4"/>
        <v>66264.5</v>
      </c>
      <c r="E156" s="1" t="s">
        <v>26</v>
      </c>
      <c r="F156" s="29">
        <v>10.143510908000001</v>
      </c>
      <c r="G156" s="30">
        <v>2.31542571572</v>
      </c>
      <c r="H156" s="101">
        <f t="shared" si="5"/>
        <v>1.3999113402906014</v>
      </c>
      <c r="I156" s="30"/>
    </row>
    <row r="157" spans="1:9">
      <c r="A157" s="1" t="s">
        <v>35</v>
      </c>
      <c r="B157" s="1" t="s">
        <v>36</v>
      </c>
      <c r="C157" s="27">
        <v>66.270399999999995</v>
      </c>
      <c r="D157" s="28">
        <f t="shared" si="4"/>
        <v>66270.399999999994</v>
      </c>
      <c r="E157" s="1" t="s">
        <v>26</v>
      </c>
      <c r="F157" s="29">
        <v>10.718217663000003</v>
      </c>
      <c r="G157" s="30">
        <v>2.8901324707200011</v>
      </c>
      <c r="H157" s="101">
        <f t="shared" si="5"/>
        <v>2.2250772353809478</v>
      </c>
      <c r="I157" s="30"/>
    </row>
    <row r="158" spans="1:9">
      <c r="A158" s="1" t="s">
        <v>35</v>
      </c>
      <c r="B158" s="1" t="s">
        <v>36</v>
      </c>
      <c r="C158" s="27">
        <v>66.276199999999989</v>
      </c>
      <c r="D158" s="28">
        <f t="shared" si="4"/>
        <v>66276.199999999983</v>
      </c>
      <c r="E158" s="1" t="s">
        <v>26</v>
      </c>
      <c r="F158" s="29">
        <v>11.180882909280001</v>
      </c>
      <c r="G158" s="30">
        <v>3.3527977169999996</v>
      </c>
      <c r="H158" s="101">
        <f t="shared" si="5"/>
        <v>2.8893735547687887</v>
      </c>
      <c r="I158" s="30"/>
    </row>
    <row r="159" spans="1:9">
      <c r="A159" s="1" t="s">
        <v>35</v>
      </c>
      <c r="B159" s="1" t="s">
        <v>36</v>
      </c>
      <c r="C159" s="27">
        <v>66.2821</v>
      </c>
      <c r="D159" s="28">
        <f t="shared" si="4"/>
        <v>66282.100000000006</v>
      </c>
      <c r="E159" s="1" t="s">
        <v>26</v>
      </c>
      <c r="F159" s="29">
        <v>9.8704664932800021</v>
      </c>
      <c r="G159" s="30">
        <v>2.0423813010000007</v>
      </c>
      <c r="H159" s="101">
        <f t="shared" si="5"/>
        <v>1.0078732497136991</v>
      </c>
      <c r="I159" s="30"/>
    </row>
    <row r="160" spans="1:9">
      <c r="A160" s="1" t="s">
        <v>35</v>
      </c>
      <c r="B160" s="1" t="s">
        <v>36</v>
      </c>
      <c r="C160" s="27">
        <v>66.287999999999997</v>
      </c>
      <c r="D160" s="28">
        <f t="shared" si="4"/>
        <v>66288</v>
      </c>
      <c r="E160" s="1" t="s">
        <v>26</v>
      </c>
      <c r="F160" s="29">
        <v>10.070796509280003</v>
      </c>
      <c r="G160" s="30">
        <v>2.2427113170000013</v>
      </c>
      <c r="H160" s="101">
        <f t="shared" si="5"/>
        <v>1.2955077616242188</v>
      </c>
      <c r="I160" s="30"/>
    </row>
    <row r="161" spans="1:9">
      <c r="A161" s="1" t="s">
        <v>35</v>
      </c>
      <c r="B161" s="1" t="s">
        <v>36</v>
      </c>
      <c r="C161" s="27">
        <v>66.357399999999984</v>
      </c>
      <c r="D161" s="28">
        <f t="shared" si="4"/>
        <v>66357.39999999998</v>
      </c>
      <c r="E161" s="1" t="s">
        <v>26</v>
      </c>
      <c r="F161" s="29">
        <v>8.6797203787200026</v>
      </c>
      <c r="G161" s="30">
        <v>0.85163518644000114</v>
      </c>
      <c r="H161" s="101">
        <f t="shared" si="5"/>
        <v>-0.70180403334912522</v>
      </c>
      <c r="I161" s="30"/>
    </row>
    <row r="162" spans="1:9">
      <c r="A162" s="1" t="s">
        <v>35</v>
      </c>
      <c r="B162" s="1" t="s">
        <v>36</v>
      </c>
      <c r="C162" s="27">
        <v>66.364399999999989</v>
      </c>
      <c r="D162" s="28">
        <f t="shared" si="4"/>
        <v>66364.399999999994</v>
      </c>
      <c r="E162" s="1" t="s">
        <v>26</v>
      </c>
      <c r="F162" s="29">
        <v>9.3657175396800003</v>
      </c>
      <c r="G162" s="30">
        <v>1.5376323473999989</v>
      </c>
      <c r="H162" s="101">
        <f t="shared" si="5"/>
        <v>0.28315300157034751</v>
      </c>
      <c r="I162" s="30"/>
    </row>
    <row r="163" spans="1:9">
      <c r="A163" s="1" t="s">
        <v>35</v>
      </c>
      <c r="B163" s="1" t="s">
        <v>36</v>
      </c>
      <c r="C163" s="27">
        <v>66.371299999999991</v>
      </c>
      <c r="D163" s="28">
        <f t="shared" si="4"/>
        <v>66371.299999999988</v>
      </c>
      <c r="E163" s="1" t="s">
        <v>26</v>
      </c>
      <c r="F163" s="29">
        <v>9.2962608841200005</v>
      </c>
      <c r="G163" s="30">
        <v>1.4681756918399991</v>
      </c>
      <c r="H163" s="101">
        <f t="shared" si="5"/>
        <v>0.18342690150884916</v>
      </c>
      <c r="I163" s="30"/>
    </row>
    <row r="164" spans="1:9">
      <c r="A164" s="1" t="s">
        <v>35</v>
      </c>
      <c r="B164" s="1" t="s">
        <v>36</v>
      </c>
      <c r="C164" s="27">
        <v>66.378299999999996</v>
      </c>
      <c r="D164" s="28">
        <f t="shared" si="4"/>
        <v>66378.3</v>
      </c>
      <c r="E164" s="1" t="s">
        <v>26</v>
      </c>
      <c r="F164" s="29">
        <v>9.7176367234800001</v>
      </c>
      <c r="G164" s="30">
        <v>1.8895515311999986</v>
      </c>
      <c r="H164" s="101">
        <f t="shared" si="5"/>
        <v>0.78843975133160682</v>
      </c>
      <c r="I164" s="30"/>
    </row>
    <row r="165" spans="1:9">
      <c r="A165" s="1" t="s">
        <v>35</v>
      </c>
      <c r="B165" s="1" t="s">
        <v>36</v>
      </c>
      <c r="C165" s="27">
        <v>66.395600000000002</v>
      </c>
      <c r="D165" s="28">
        <f t="shared" si="4"/>
        <v>66395.600000000006</v>
      </c>
      <c r="E165" s="1" t="s">
        <v>26</v>
      </c>
      <c r="F165" s="29">
        <v>8.4907780324800015</v>
      </c>
      <c r="G165" s="30">
        <v>0.66269284020000008</v>
      </c>
      <c r="H165" s="101">
        <f t="shared" si="5"/>
        <v>-0.97308809065170609</v>
      </c>
      <c r="I165" s="30"/>
    </row>
    <row r="166" spans="1:9">
      <c r="A166" s="1" t="s">
        <v>35</v>
      </c>
      <c r="B166" s="1" t="s">
        <v>36</v>
      </c>
      <c r="C166" s="27">
        <v>66.431100000000001</v>
      </c>
      <c r="D166" s="28">
        <f t="shared" si="4"/>
        <v>66431.100000000006</v>
      </c>
      <c r="E166" s="1" t="s">
        <v>26</v>
      </c>
      <c r="F166" s="29">
        <v>7.2545987731200015</v>
      </c>
      <c r="G166" s="30">
        <v>-0.57348641915999998</v>
      </c>
      <c r="H166" s="101">
        <f t="shared" si="5"/>
        <v>-2.7479984360885088</v>
      </c>
      <c r="I166" s="30"/>
    </row>
    <row r="167" spans="1:9">
      <c r="A167" s="1" t="s">
        <v>35</v>
      </c>
      <c r="B167" s="1" t="s">
        <v>36</v>
      </c>
      <c r="C167" s="27">
        <v>66.466699999999989</v>
      </c>
      <c r="D167" s="28">
        <f t="shared" si="4"/>
        <v>66466.699999999983</v>
      </c>
      <c r="E167" s="1" t="s">
        <v>26</v>
      </c>
      <c r="F167" s="29">
        <v>7.4111898444800017</v>
      </c>
      <c r="G167" s="30">
        <v>-0.4168953477999997</v>
      </c>
      <c r="H167" s="101">
        <f t="shared" si="5"/>
        <v>-2.5231644482542599</v>
      </c>
      <c r="I167" s="30"/>
    </row>
    <row r="168" spans="1:9">
      <c r="A168" s="1" t="s">
        <v>35</v>
      </c>
      <c r="B168" s="1" t="s">
        <v>36</v>
      </c>
      <c r="C168" s="27">
        <v>66.4756</v>
      </c>
      <c r="D168" s="28">
        <f t="shared" si="4"/>
        <v>66475.600000000006</v>
      </c>
      <c r="E168" s="1" t="s">
        <v>26</v>
      </c>
      <c r="F168" s="29">
        <v>7.3249680019200012</v>
      </c>
      <c r="G168" s="30">
        <v>-0.50311719036000024</v>
      </c>
      <c r="H168" s="101">
        <f t="shared" si="5"/>
        <v>-2.6469620602944413</v>
      </c>
      <c r="I168" s="30"/>
    </row>
    <row r="169" spans="1:9">
      <c r="A169" s="1" t="s">
        <v>35</v>
      </c>
      <c r="B169" s="1" t="s">
        <v>36</v>
      </c>
      <c r="C169" s="27">
        <v>66.484399999999994</v>
      </c>
      <c r="D169" s="28">
        <f t="shared" si="4"/>
        <v>66484.399999999994</v>
      </c>
      <c r="E169" s="1" t="s">
        <v>26</v>
      </c>
      <c r="F169" s="29">
        <v>7.6096697670000024</v>
      </c>
      <c r="G169" s="30">
        <v>-0.21841542527999902</v>
      </c>
      <c r="H169" s="101">
        <f t="shared" si="5"/>
        <v>-2.2381863067955283</v>
      </c>
      <c r="I169" s="30"/>
    </row>
    <row r="170" spans="1:9">
      <c r="A170" s="1" t="s">
        <v>35</v>
      </c>
      <c r="B170" s="1" t="s">
        <v>36</v>
      </c>
      <c r="C170" s="27">
        <v>66.493299999999991</v>
      </c>
      <c r="D170" s="28">
        <f t="shared" ref="D170:D176" si="6">C170*1000</f>
        <v>66493.299999999988</v>
      </c>
      <c r="E170" s="1" t="s">
        <v>26</v>
      </c>
      <c r="F170" s="29">
        <v>8.2662114470000017</v>
      </c>
      <c r="G170" s="30">
        <v>0.43812625472000022</v>
      </c>
      <c r="H170" s="101">
        <f t="shared" si="5"/>
        <v>-1.295521550677744</v>
      </c>
      <c r="I170" s="30"/>
    </row>
    <row r="171" spans="1:9">
      <c r="A171" s="1" t="s">
        <v>35</v>
      </c>
      <c r="B171" s="1" t="s">
        <v>36</v>
      </c>
      <c r="C171" s="27">
        <v>66.502099999999999</v>
      </c>
      <c r="D171" s="28">
        <f t="shared" si="6"/>
        <v>66502.100000000006</v>
      </c>
      <c r="E171" s="1" t="s">
        <v>26</v>
      </c>
      <c r="F171" s="29">
        <v>7.4758703442800023</v>
      </c>
      <c r="G171" s="30">
        <v>-0.35221484799999914</v>
      </c>
      <c r="H171" s="101">
        <f t="shared" si="5"/>
        <v>-2.4302959687244545</v>
      </c>
      <c r="I171" s="30"/>
    </row>
    <row r="172" spans="1:9">
      <c r="A172" s="1" t="s">
        <v>35</v>
      </c>
      <c r="B172" s="1" t="s">
        <v>36</v>
      </c>
      <c r="C172" s="27">
        <v>66.537499999999994</v>
      </c>
      <c r="D172" s="28">
        <f t="shared" si="6"/>
        <v>66537.5</v>
      </c>
      <c r="E172" s="1" t="s">
        <v>26</v>
      </c>
      <c r="F172" s="29">
        <v>7.2216181321200024</v>
      </c>
      <c r="G172" s="30">
        <v>-0.60646706015999907</v>
      </c>
      <c r="H172" s="101">
        <f t="shared" si="5"/>
        <v>-2.7953521515523501</v>
      </c>
      <c r="I172" s="30"/>
    </row>
    <row r="173" spans="1:9">
      <c r="A173" s="1" t="s">
        <v>35</v>
      </c>
      <c r="B173" s="1" t="s">
        <v>36</v>
      </c>
      <c r="C173" s="27">
        <v>66.546300000000002</v>
      </c>
      <c r="D173" s="28">
        <f t="shared" si="6"/>
        <v>66546.3</v>
      </c>
      <c r="E173" s="1" t="s">
        <v>26</v>
      </c>
      <c r="F173" s="29">
        <v>7.0677501241200034</v>
      </c>
      <c r="G173" s="30">
        <v>-0.76033506815999807</v>
      </c>
      <c r="H173" s="101">
        <f t="shared" si="5"/>
        <v>-3.0162763558399566</v>
      </c>
      <c r="I173" s="30"/>
    </row>
    <row r="174" spans="1:9">
      <c r="A174" s="1" t="s">
        <v>35</v>
      </c>
      <c r="B174" s="1" t="s">
        <v>36</v>
      </c>
      <c r="C174" s="27">
        <v>66.563999999999993</v>
      </c>
      <c r="D174" s="28">
        <f t="shared" si="6"/>
        <v>66564</v>
      </c>
      <c r="E174" s="1" t="s">
        <v>26</v>
      </c>
      <c r="F174" s="29">
        <v>7.5647707705200018</v>
      </c>
      <c r="G174" s="30">
        <v>-0.26331442175999964</v>
      </c>
      <c r="H174" s="101">
        <f t="shared" si="5"/>
        <v>-2.3026524372120361</v>
      </c>
      <c r="I174" s="30"/>
    </row>
    <row r="175" spans="1:9">
      <c r="A175" s="1" t="s">
        <v>35</v>
      </c>
      <c r="B175" s="1" t="s">
        <v>36</v>
      </c>
      <c r="C175" s="27">
        <v>66.570300000000003</v>
      </c>
      <c r="D175" s="28">
        <f t="shared" si="6"/>
        <v>66570.3</v>
      </c>
      <c r="E175" s="1" t="s">
        <v>26</v>
      </c>
      <c r="F175" s="29">
        <v>7.5203177011200024</v>
      </c>
      <c r="G175" s="30">
        <v>-0.30776749115999902</v>
      </c>
      <c r="H175" s="101">
        <f t="shared" si="5"/>
        <v>-2.3664783040246919</v>
      </c>
      <c r="I175" s="30"/>
    </row>
    <row r="176" spans="1:9">
      <c r="A176" s="1" t="s">
        <v>35</v>
      </c>
      <c r="B176" s="1" t="s">
        <v>36</v>
      </c>
      <c r="C176" s="27">
        <v>66.582899999999995</v>
      </c>
      <c r="D176" s="28">
        <f t="shared" si="6"/>
        <v>66582.899999999994</v>
      </c>
      <c r="E176" s="1" t="s">
        <v>26</v>
      </c>
      <c r="F176" s="29">
        <v>6.8788061977200039</v>
      </c>
      <c r="G176" s="30">
        <v>-0.94927899455999754</v>
      </c>
      <c r="H176" s="101">
        <f t="shared" si="5"/>
        <v>-3.2875626819415871</v>
      </c>
      <c r="I176" s="30"/>
    </row>
    <row r="177" spans="6:6">
      <c r="F177" s="1">
        <f>AVERAGE(F2:F176)</f>
        <v>9.1685087756109702</v>
      </c>
    </row>
    <row r="178" spans="6:6">
      <c r="F178" s="1">
        <f>STDEV(F2:F176)</f>
        <v>0.69647419841476832</v>
      </c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1"/>
    </row>
    <row r="317" spans="4:4">
      <c r="D317" s="31"/>
    </row>
    <row r="318" spans="4:4">
      <c r="D318" s="31"/>
    </row>
    <row r="319" spans="4:4">
      <c r="D319" s="31"/>
    </row>
    <row r="320" spans="4:4">
      <c r="D320" s="31"/>
    </row>
    <row r="321" spans="4:4">
      <c r="D321" s="31"/>
    </row>
    <row r="322" spans="4:4">
      <c r="D32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3"/>
    </row>
    <row r="397" spans="4:4">
      <c r="D397" s="33"/>
    </row>
    <row r="398" spans="4:4">
      <c r="D398" s="33"/>
    </row>
    <row r="399" spans="4:4">
      <c r="D399" s="33"/>
    </row>
    <row r="400" spans="4:4">
      <c r="D400" s="33"/>
    </row>
    <row r="401" spans="4:4">
      <c r="D401" s="33"/>
    </row>
    <row r="402" spans="4:4">
      <c r="D402" s="33"/>
    </row>
    <row r="403" spans="4:4">
      <c r="D403" s="33"/>
    </row>
    <row r="404" spans="4:4">
      <c r="D404" s="33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3"/>
    </row>
    <row r="484" spans="4:4">
      <c r="D484" s="33"/>
    </row>
    <row r="485" spans="4:4">
      <c r="D485" s="33"/>
    </row>
    <row r="486" spans="4:4">
      <c r="D486" s="33"/>
    </row>
    <row r="487" spans="4:4">
      <c r="D487" s="33"/>
    </row>
    <row r="488" spans="4:4">
      <c r="D488" s="33"/>
    </row>
    <row r="489" spans="4:4">
      <c r="D489" s="33"/>
    </row>
    <row r="490" spans="4:4">
      <c r="D490" s="33"/>
    </row>
    <row r="491" spans="4:4">
      <c r="D491" s="33"/>
    </row>
    <row r="492" spans="4:4">
      <c r="D492" s="33"/>
    </row>
    <row r="493" spans="4:4">
      <c r="D493" s="33"/>
    </row>
    <row r="494" spans="4:4">
      <c r="D494" s="33"/>
    </row>
    <row r="495" spans="4:4">
      <c r="D495" s="33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7" spans="4:4">
      <c r="D797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2" spans="4:4">
      <c r="D882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19" spans="4:4">
      <c r="D919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7" spans="4:4">
      <c r="D927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3" spans="4:4">
      <c r="D983" s="31"/>
    </row>
    <row r="984" spans="4:4">
      <c r="D984" s="31"/>
    </row>
    <row r="985" spans="4:4">
      <c r="D985" s="31"/>
    </row>
    <row r="986" spans="4:4">
      <c r="D986" s="31"/>
    </row>
    <row r="987" spans="4:4">
      <c r="D987" s="31"/>
    </row>
    <row r="988" spans="4:4">
      <c r="D988" s="31"/>
    </row>
    <row r="989" spans="4:4">
      <c r="D989" s="31"/>
    </row>
    <row r="990" spans="4:4">
      <c r="D990" s="31"/>
    </row>
    <row r="991" spans="4:4">
      <c r="D991" s="31"/>
    </row>
    <row r="992" spans="4:4">
      <c r="D992" s="31"/>
    </row>
    <row r="993" spans="4:4">
      <c r="D993" s="31"/>
    </row>
    <row r="994" spans="4:4">
      <c r="D994" s="31"/>
    </row>
    <row r="995" spans="4:4">
      <c r="D995" s="31"/>
    </row>
    <row r="996" spans="4:4">
      <c r="D996" s="31"/>
    </row>
    <row r="997" spans="4:4">
      <c r="D997" s="31"/>
    </row>
    <row r="998" spans="4:4">
      <c r="D998" s="31"/>
    </row>
    <row r="999" spans="4:4">
      <c r="D999" s="31"/>
    </row>
    <row r="1000" spans="4:4">
      <c r="D1000" s="31"/>
    </row>
    <row r="1001" spans="4:4">
      <c r="D1001" s="31"/>
    </row>
    <row r="1002" spans="4:4">
      <c r="D1002" s="31"/>
    </row>
    <row r="1003" spans="4:4">
      <c r="D1003" s="31"/>
    </row>
    <row r="1004" spans="4:4">
      <c r="D1004" s="31"/>
    </row>
    <row r="1005" spans="4:4">
      <c r="D1005" s="31"/>
    </row>
    <row r="1006" spans="4:4">
      <c r="D1006" s="31"/>
    </row>
    <row r="1007" spans="4:4">
      <c r="D1007" s="31"/>
    </row>
    <row r="1008" spans="4:4">
      <c r="D1008" s="31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69" spans="4:4">
      <c r="D1069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1" spans="4:4">
      <c r="D1151" s="39"/>
    </row>
    <row r="1152" spans="4:4">
      <c r="D1152" s="39"/>
    </row>
    <row r="1153" spans="4:4">
      <c r="D1153" s="39"/>
    </row>
    <row r="1154" spans="4:4">
      <c r="D1154" s="39"/>
    </row>
    <row r="1155" spans="4:4">
      <c r="D1155" s="39"/>
    </row>
    <row r="1156" spans="4:4">
      <c r="D1156" s="39"/>
    </row>
    <row r="1157" spans="4:4">
      <c r="D1157" s="39"/>
    </row>
    <row r="1158" spans="4:4">
      <c r="D1158" s="39"/>
    </row>
    <row r="1159" spans="4:4">
      <c r="D1159" s="39"/>
    </row>
    <row r="1160" spans="4:4">
      <c r="D1160" s="39"/>
    </row>
    <row r="1161" spans="4:4">
      <c r="D1161" s="39"/>
    </row>
    <row r="1162" spans="4:4">
      <c r="D1162" s="39"/>
    </row>
    <row r="1163" spans="4:4">
      <c r="D1163" s="39"/>
    </row>
    <row r="1164" spans="4:4">
      <c r="D1164" s="39"/>
    </row>
    <row r="1165" spans="4:4">
      <c r="D1165" s="39"/>
    </row>
    <row r="1166" spans="4:4">
      <c r="D1166" s="39"/>
    </row>
    <row r="1167" spans="4:4">
      <c r="D1167" s="39"/>
    </row>
    <row r="1168" spans="4:4">
      <c r="D1168" s="39"/>
    </row>
    <row r="1169" spans="4:4">
      <c r="D1169" s="39"/>
    </row>
    <row r="1170" spans="4:4">
      <c r="D1170" s="39"/>
    </row>
    <row r="1171" spans="4:4">
      <c r="D1171" s="39"/>
    </row>
    <row r="1172" spans="4:4">
      <c r="D1172" s="39"/>
    </row>
    <row r="1173" spans="4:4">
      <c r="D1173" s="39"/>
    </row>
    <row r="1174" spans="4:4">
      <c r="D1174" s="39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39" spans="4:4">
      <c r="D1339" s="31"/>
    </row>
    <row r="1340" spans="4:4">
      <c r="D1340" s="31"/>
    </row>
    <row r="1341" spans="4:4">
      <c r="D1341" s="31"/>
    </row>
    <row r="1342" spans="4:4">
      <c r="D1342" s="31"/>
    </row>
    <row r="1343" spans="4:4">
      <c r="D1343" s="31"/>
    </row>
    <row r="1344" spans="4:4">
      <c r="D1344" s="31"/>
    </row>
    <row r="1345" spans="4:4">
      <c r="D1345" s="31"/>
    </row>
    <row r="1346" spans="4:4">
      <c r="D1346" s="31"/>
    </row>
    <row r="1347" spans="4:4">
      <c r="D1347" s="31"/>
    </row>
    <row r="1348" spans="4:4">
      <c r="D1348" s="31"/>
    </row>
    <row r="1349" spans="4:4">
      <c r="D1349" s="31"/>
    </row>
    <row r="1350" spans="4:4">
      <c r="D1350" s="31"/>
    </row>
    <row r="1351" spans="4:4">
      <c r="D1351" s="31"/>
    </row>
    <row r="1352" spans="4:4">
      <c r="D1352" s="31"/>
    </row>
    <row r="1353" spans="4:4">
      <c r="D1353" s="31"/>
    </row>
    <row r="1354" spans="4:4">
      <c r="D1354" s="31"/>
    </row>
    <row r="1355" spans="4:4">
      <c r="D1355" s="31"/>
    </row>
    <row r="1356" spans="4:4">
      <c r="D1356" s="31"/>
    </row>
    <row r="1357" spans="4:4">
      <c r="D1357" s="31"/>
    </row>
    <row r="1358" spans="4:4">
      <c r="D1358" s="31"/>
    </row>
    <row r="1359" spans="4:4">
      <c r="D1359" s="31"/>
    </row>
    <row r="1360" spans="4:4">
      <c r="D1360" s="31"/>
    </row>
    <row r="1361" spans="4:4">
      <c r="D1361" s="31"/>
    </row>
    <row r="1362" spans="4:4">
      <c r="D1362" s="31"/>
    </row>
    <row r="1363" spans="4:4">
      <c r="D1363" s="31"/>
    </row>
    <row r="1364" spans="4:4">
      <c r="D1364" s="31"/>
    </row>
    <row r="1365" spans="4:4">
      <c r="D1365" s="31"/>
    </row>
    <row r="1366" spans="4:4">
      <c r="D1366" s="31"/>
    </row>
    <row r="1367" spans="4:4">
      <c r="D1367" s="31"/>
    </row>
    <row r="1368" spans="4:4">
      <c r="D1368" s="31"/>
    </row>
    <row r="1369" spans="4:4">
      <c r="D1369" s="31"/>
    </row>
    <row r="1370" spans="4:4">
      <c r="D1370" s="31"/>
    </row>
    <row r="1371" spans="4:4">
      <c r="D1371" s="31"/>
    </row>
    <row r="1372" spans="4:4">
      <c r="D1372" s="31"/>
    </row>
    <row r="1373" spans="4:4">
      <c r="D1373" s="31"/>
    </row>
    <row r="1374" spans="4:4">
      <c r="D1374" s="31"/>
    </row>
    <row r="1375" spans="4:4">
      <c r="D1375" s="31"/>
    </row>
    <row r="1376" spans="4:4">
      <c r="D1376" s="31"/>
    </row>
    <row r="1377" spans="4:4">
      <c r="D1377" s="31"/>
    </row>
    <row r="1378" spans="4:4">
      <c r="D1378" s="31"/>
    </row>
    <row r="1379" spans="4:4">
      <c r="D1379" s="31"/>
    </row>
    <row r="1380" spans="4:4">
      <c r="D1380" s="31"/>
    </row>
    <row r="1381" spans="4:4">
      <c r="D1381" s="31"/>
    </row>
    <row r="1382" spans="4:4">
      <c r="D1382" s="31"/>
    </row>
    <row r="1383" spans="4:4">
      <c r="D1383" s="31"/>
    </row>
    <row r="1384" spans="4:4">
      <c r="D1384" s="31"/>
    </row>
    <row r="1385" spans="4:4">
      <c r="D1385" s="31"/>
    </row>
    <row r="1386" spans="4:4">
      <c r="D1386" s="31"/>
    </row>
    <row r="1387" spans="4:4">
      <c r="D1387" s="31"/>
    </row>
    <row r="1388" spans="4:4">
      <c r="D1388" s="31"/>
    </row>
    <row r="1389" spans="4:4">
      <c r="D1389" s="31"/>
    </row>
    <row r="1390" spans="4:4">
      <c r="D1390" s="31"/>
    </row>
    <row r="1391" spans="4:4">
      <c r="D1391" s="31"/>
    </row>
    <row r="1392" spans="4:4">
      <c r="D1392" s="31"/>
    </row>
    <row r="1393" spans="4:4">
      <c r="D1393" s="31"/>
    </row>
    <row r="1394" spans="4:4">
      <c r="D1394" s="31"/>
    </row>
    <row r="1395" spans="4:4">
      <c r="D1395" s="31"/>
    </row>
    <row r="1396" spans="4:4">
      <c r="D1396" s="31"/>
    </row>
    <row r="1397" spans="4:4">
      <c r="D1397" s="31"/>
    </row>
    <row r="1398" spans="4:4">
      <c r="D1398" s="31"/>
    </row>
    <row r="1399" spans="4:4">
      <c r="D1399" s="31"/>
    </row>
    <row r="1400" spans="4:4">
      <c r="D1400" s="31"/>
    </row>
    <row r="1401" spans="4:4">
      <c r="D1401" s="31"/>
    </row>
    <row r="1402" spans="4:4">
      <c r="D1402" s="31"/>
    </row>
    <row r="1403" spans="4:4">
      <c r="D1403" s="31"/>
    </row>
    <row r="1404" spans="4:4">
      <c r="D1404" s="31"/>
    </row>
    <row r="1405" spans="4:4">
      <c r="D1405" s="31"/>
    </row>
    <row r="1406" spans="4:4">
      <c r="D1406" s="31"/>
    </row>
    <row r="1407" spans="4:4">
      <c r="D1407" s="31"/>
    </row>
    <row r="1408" spans="4:4">
      <c r="D1408" s="31"/>
    </row>
    <row r="1409" spans="4:4">
      <c r="D1409" s="31"/>
    </row>
    <row r="1410" spans="4:4">
      <c r="D1410" s="31"/>
    </row>
    <row r="1411" spans="4:4">
      <c r="D1411" s="31"/>
    </row>
    <row r="1412" spans="4:4">
      <c r="D1412" s="31"/>
    </row>
    <row r="1413" spans="4:4">
      <c r="D1413" s="31"/>
    </row>
    <row r="1414" spans="4:4">
      <c r="D1414" s="31"/>
    </row>
    <row r="1415" spans="4:4">
      <c r="D1415" s="31"/>
    </row>
    <row r="1416" spans="4:4">
      <c r="D1416" s="31"/>
    </row>
    <row r="1417" spans="4:4">
      <c r="D1417" s="31"/>
    </row>
    <row r="1418" spans="4:4">
      <c r="D1418" s="31"/>
    </row>
    <row r="1419" spans="4:4">
      <c r="D1419" s="31"/>
    </row>
    <row r="1420" spans="4:4">
      <c r="D1420" s="31"/>
    </row>
    <row r="1421" spans="4:4">
      <c r="D1421" s="31"/>
    </row>
    <row r="1422" spans="4:4">
      <c r="D1422" s="31"/>
    </row>
    <row r="1423" spans="4:4">
      <c r="D1423" s="31"/>
    </row>
    <row r="1424" spans="4:4">
      <c r="D1424" s="31"/>
    </row>
    <row r="1425" spans="4:4">
      <c r="D1425" s="31"/>
    </row>
    <row r="1426" spans="4:4">
      <c r="D1426" s="31"/>
    </row>
    <row r="1427" spans="4:4">
      <c r="D1427" s="31"/>
    </row>
    <row r="1428" spans="4:4">
      <c r="D1428" s="31"/>
    </row>
    <row r="1429" spans="4:4">
      <c r="D1429" s="31"/>
    </row>
    <row r="1430" spans="4:4">
      <c r="D1430" s="31"/>
    </row>
    <row r="1431" spans="4:4">
      <c r="D1431" s="31"/>
    </row>
    <row r="1432" spans="4:4">
      <c r="D1432" s="31"/>
    </row>
    <row r="1433" spans="4:4">
      <c r="D1433" s="31"/>
    </row>
    <row r="1434" spans="4:4">
      <c r="D1434" s="31"/>
    </row>
    <row r="1435" spans="4:4">
      <c r="D1435" s="31"/>
    </row>
    <row r="1436" spans="4:4">
      <c r="D1436" s="31"/>
    </row>
    <row r="1437" spans="4:4">
      <c r="D1437" s="31"/>
    </row>
    <row r="1438" spans="4:4">
      <c r="D1438" s="31"/>
    </row>
    <row r="1439" spans="4:4">
      <c r="D1439" s="31"/>
    </row>
    <row r="1440" spans="4:4">
      <c r="D1440" s="31"/>
    </row>
    <row r="1441" spans="4:4">
      <c r="D1441" s="31"/>
    </row>
    <row r="1442" spans="4:4">
      <c r="D1442" s="31"/>
    </row>
    <row r="1443" spans="4:4">
      <c r="D1443" s="31"/>
    </row>
    <row r="1444" spans="4:4">
      <c r="D1444" s="31"/>
    </row>
    <row r="1445" spans="4:4">
      <c r="D1445" s="31"/>
    </row>
    <row r="1446" spans="4:4">
      <c r="D1446" s="31"/>
    </row>
    <row r="1447" spans="4:4">
      <c r="D1447" s="31"/>
    </row>
    <row r="1448" spans="4:4">
      <c r="D1448" s="31"/>
    </row>
    <row r="1449" spans="4:4">
      <c r="D1449" s="31"/>
    </row>
    <row r="1450" spans="4:4">
      <c r="D1450" s="31"/>
    </row>
    <row r="1451" spans="4:4">
      <c r="D1451" s="31"/>
    </row>
    <row r="1452" spans="4:4">
      <c r="D1452" s="31"/>
    </row>
    <row r="1453" spans="4:4">
      <c r="D1453" s="31"/>
    </row>
    <row r="1454" spans="4:4">
      <c r="D1454" s="31"/>
    </row>
    <row r="1455" spans="4:4">
      <c r="D1455" s="31"/>
    </row>
    <row r="1456" spans="4:4">
      <c r="D1456" s="31"/>
    </row>
    <row r="1457" spans="4:4">
      <c r="D1457" s="31"/>
    </row>
    <row r="1458" spans="4:4">
      <c r="D1458" s="31"/>
    </row>
    <row r="1459" spans="4:4">
      <c r="D1459" s="31"/>
    </row>
    <row r="1460" spans="4:4">
      <c r="D1460" s="31"/>
    </row>
    <row r="1461" spans="4:4">
      <c r="D1461" s="31"/>
    </row>
    <row r="1462" spans="4:4">
      <c r="D1462" s="31"/>
    </row>
    <row r="1463" spans="4:4">
      <c r="D1463" s="31"/>
    </row>
    <row r="1464" spans="4:4">
      <c r="D1464" s="31"/>
    </row>
    <row r="1465" spans="4:4">
      <c r="D1465" s="31"/>
    </row>
    <row r="1466" spans="4:4">
      <c r="D1466" s="31"/>
    </row>
    <row r="1467" spans="4:4">
      <c r="D1467" s="31"/>
    </row>
    <row r="1468" spans="4:4">
      <c r="D1468" s="31"/>
    </row>
    <row r="1469" spans="4:4">
      <c r="D1469" s="31"/>
    </row>
    <row r="1470" spans="4:4">
      <c r="D1470" s="31"/>
    </row>
    <row r="1471" spans="4:4">
      <c r="D1471" s="31"/>
    </row>
    <row r="1472" spans="4:4">
      <c r="D1472" s="31"/>
    </row>
    <row r="1473" spans="4:4">
      <c r="D1473" s="31"/>
    </row>
    <row r="1474" spans="4:4">
      <c r="D1474" s="31"/>
    </row>
    <row r="1475" spans="4:4">
      <c r="D1475" s="31"/>
    </row>
    <row r="1476" spans="4:4">
      <c r="D1476" s="31"/>
    </row>
    <row r="1477" spans="4:4">
      <c r="D1477" s="31"/>
    </row>
    <row r="1478" spans="4:4">
      <c r="D1478" s="31"/>
    </row>
    <row r="1479" spans="4:4">
      <c r="D1479" s="31"/>
    </row>
    <row r="1480" spans="4:4">
      <c r="D1480" s="31"/>
    </row>
    <row r="1481" spans="4:4">
      <c r="D1481" s="31"/>
    </row>
    <row r="1482" spans="4:4">
      <c r="D1482" s="31"/>
    </row>
    <row r="1483" spans="4:4">
      <c r="D1483" s="31"/>
    </row>
    <row r="1484" spans="4:4">
      <c r="D1484" s="31"/>
    </row>
    <row r="1485" spans="4:4">
      <c r="D1485" s="31"/>
    </row>
    <row r="1486" spans="4:4">
      <c r="D1486" s="31"/>
    </row>
    <row r="1487" spans="4:4">
      <c r="D1487" s="31"/>
    </row>
    <row r="1488" spans="4:4">
      <c r="D1488" s="31"/>
    </row>
    <row r="1489" spans="4:4">
      <c r="D1489" s="31"/>
    </row>
    <row r="1490" spans="4:4">
      <c r="D1490" s="31"/>
    </row>
    <row r="1491" spans="4:4">
      <c r="D1491" s="31"/>
    </row>
    <row r="1492" spans="4:4">
      <c r="D1492" s="31"/>
    </row>
    <row r="1493" spans="4:4">
      <c r="D1493" s="31"/>
    </row>
    <row r="1494" spans="4:4">
      <c r="D1494" s="31"/>
    </row>
    <row r="1495" spans="4:4">
      <c r="D1495" s="31"/>
    </row>
    <row r="1496" spans="4:4">
      <c r="D1496" s="31"/>
    </row>
    <row r="1497" spans="4:4">
      <c r="D1497" s="31"/>
    </row>
    <row r="1498" spans="4:4">
      <c r="D1498" s="31"/>
    </row>
    <row r="1499" spans="4:4">
      <c r="D1499" s="31"/>
    </row>
    <row r="1500" spans="4:4">
      <c r="D1500" s="31"/>
    </row>
    <row r="1501" spans="4:4">
      <c r="D1501" s="31"/>
    </row>
    <row r="1502" spans="4:4">
      <c r="D1502" s="31"/>
    </row>
    <row r="1503" spans="4:4">
      <c r="D1503" s="31"/>
    </row>
    <row r="1504" spans="4:4">
      <c r="D1504" s="31"/>
    </row>
    <row r="1505" spans="4:4">
      <c r="D1505" s="31"/>
    </row>
    <row r="1507" spans="4:4">
      <c r="D1507" s="31"/>
    </row>
    <row r="1508" spans="4:4">
      <c r="D1508" s="31"/>
    </row>
    <row r="1509" spans="4:4">
      <c r="D1509" s="31"/>
    </row>
    <row r="1510" spans="4:4">
      <c r="D1510" s="31"/>
    </row>
    <row r="1511" spans="4:4">
      <c r="D1511" s="31"/>
    </row>
    <row r="1512" spans="4:4">
      <c r="D1512" s="31"/>
    </row>
    <row r="1513" spans="4:4">
      <c r="D1513" s="31"/>
    </row>
    <row r="1514" spans="4:4">
      <c r="D1514" s="31"/>
    </row>
    <row r="1515" spans="4:4">
      <c r="D1515" s="31"/>
    </row>
    <row r="1516" spans="4:4">
      <c r="D1516" s="31"/>
    </row>
    <row r="1517" spans="4:4">
      <c r="D1517" s="31"/>
    </row>
    <row r="1518" spans="4:4">
      <c r="D1518" s="31"/>
    </row>
    <row r="1519" spans="4:4">
      <c r="D1519" s="31"/>
    </row>
    <row r="1520" spans="4:4">
      <c r="D1520" s="31"/>
    </row>
    <row r="1521" spans="4:4">
      <c r="D1521" s="31"/>
    </row>
    <row r="1522" spans="4:4">
      <c r="D1522" s="31"/>
    </row>
    <row r="1523" spans="4:4">
      <c r="D1523" s="31"/>
    </row>
    <row r="1524" spans="4:4">
      <c r="D1524" s="31"/>
    </row>
    <row r="1525" spans="4:4">
      <c r="D1525" s="31"/>
    </row>
    <row r="1526" spans="4:4">
      <c r="D1526" s="31"/>
    </row>
    <row r="1527" spans="4:4">
      <c r="D1527" s="31"/>
    </row>
    <row r="1528" spans="4:4">
      <c r="D1528" s="31"/>
    </row>
    <row r="1529" spans="4:4">
      <c r="D1529" s="31"/>
    </row>
    <row r="1530" spans="4:4">
      <c r="D1530" s="31"/>
    </row>
    <row r="1531" spans="4:4">
      <c r="D1531" s="31"/>
    </row>
    <row r="1532" spans="4:4">
      <c r="D1532" s="31"/>
    </row>
    <row r="1533" spans="4:4">
      <c r="D1533" s="31"/>
    </row>
    <row r="1534" spans="4:4">
      <c r="D1534" s="31"/>
    </row>
    <row r="1535" spans="4:4">
      <c r="D1535" s="31"/>
    </row>
    <row r="1536" spans="4:4">
      <c r="D1536" s="31"/>
    </row>
    <row r="1537" spans="4:4">
      <c r="D1537" s="31"/>
    </row>
    <row r="1538" spans="4:4">
      <c r="D1538" s="31"/>
    </row>
    <row r="1539" spans="4:4">
      <c r="D1539" s="31"/>
    </row>
    <row r="1540" spans="4:4">
      <c r="D1540" s="31"/>
    </row>
    <row r="1541" spans="4:4">
      <c r="D1541" s="31"/>
    </row>
    <row r="1542" spans="4:4">
      <c r="D1542" s="31"/>
    </row>
    <row r="1543" spans="4:4">
      <c r="D1543" s="31"/>
    </row>
    <row r="1544" spans="4:4">
      <c r="D1544" s="31"/>
    </row>
    <row r="1545" spans="4:4">
      <c r="D1545" s="31"/>
    </row>
    <row r="1546" spans="4:4">
      <c r="D1546" s="31"/>
    </row>
    <row r="1547" spans="4:4">
      <c r="D1547" s="31"/>
    </row>
    <row r="1548" spans="4:4">
      <c r="D1548" s="31"/>
    </row>
    <row r="1549" spans="4:4">
      <c r="D1549" s="31"/>
    </row>
    <row r="1550" spans="4:4">
      <c r="D1550" s="31"/>
    </row>
    <row r="1551" spans="4:4">
      <c r="D1551" s="31"/>
    </row>
    <row r="1552" spans="4:4">
      <c r="D1552" s="31"/>
    </row>
    <row r="1553" spans="4:4">
      <c r="D1553" s="31"/>
    </row>
    <row r="1554" spans="4:4">
      <c r="D1554" s="31"/>
    </row>
    <row r="1555" spans="4:4">
      <c r="D1555" s="31"/>
    </row>
    <row r="1556" spans="4:4">
      <c r="D1556" s="31"/>
    </row>
    <row r="1557" spans="4:4">
      <c r="D1557" s="31"/>
    </row>
    <row r="1558" spans="4:4">
      <c r="D1558" s="31"/>
    </row>
    <row r="1559" spans="4:4">
      <c r="D1559" s="31"/>
    </row>
    <row r="1560" spans="4:4">
      <c r="D1560" s="31"/>
    </row>
    <row r="1561" spans="4:4">
      <c r="D1561" s="31"/>
    </row>
    <row r="1562" spans="4:4">
      <c r="D1562" s="31"/>
    </row>
    <row r="1563" spans="4:4">
      <c r="D1563" s="31"/>
    </row>
    <row r="1564" spans="4:4">
      <c r="D1564" s="31"/>
    </row>
    <row r="1565" spans="4:4">
      <c r="D1565" s="31"/>
    </row>
    <row r="1566" spans="4:4">
      <c r="D1566" s="31"/>
    </row>
    <row r="1567" spans="4:4">
      <c r="D1567" s="31"/>
    </row>
    <row r="1568" spans="4:4">
      <c r="D1568" s="31"/>
    </row>
    <row r="1569" spans="4:4">
      <c r="D1569" s="31"/>
    </row>
    <row r="1570" spans="4:4">
      <c r="D1570" s="31"/>
    </row>
    <row r="1571" spans="4:4">
      <c r="D1571" s="31"/>
    </row>
    <row r="1572" spans="4:4">
      <c r="D1572" s="31"/>
    </row>
    <row r="1573" spans="4:4">
      <c r="D1573" s="31"/>
    </row>
    <row r="1574" spans="4:4">
      <c r="D1574" s="31"/>
    </row>
    <row r="1575" spans="4:4">
      <c r="D1575" s="31"/>
    </row>
    <row r="1576" spans="4:4">
      <c r="D1576" s="31"/>
    </row>
    <row r="1577" spans="4:4">
      <c r="D1577" s="31"/>
    </row>
    <row r="1578" spans="4:4">
      <c r="D1578" s="31"/>
    </row>
    <row r="1579" spans="4:4">
      <c r="D1579" s="31"/>
    </row>
    <row r="1580" spans="4:4">
      <c r="D1580" s="31"/>
    </row>
    <row r="1581" spans="4:4">
      <c r="D1581" s="31"/>
    </row>
    <row r="1582" spans="4:4">
      <c r="D1582" s="31"/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452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43.6640625" style="2" customWidth="1"/>
    <col min="2" max="2" width="14.8320312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41" t="s">
        <v>37</v>
      </c>
      <c r="B2" s="41" t="s">
        <v>38</v>
      </c>
      <c r="C2" s="42">
        <v>66.054000000000002</v>
      </c>
      <c r="D2" s="28">
        <f t="shared" ref="D2:D47" si="0">C2*1000</f>
        <v>66054</v>
      </c>
      <c r="E2" s="41" t="s">
        <v>30</v>
      </c>
      <c r="F2" s="46">
        <v>19.86</v>
      </c>
      <c r="G2" s="44">
        <v>0</v>
      </c>
      <c r="H2" s="101">
        <f>(F2-21.69173913)/2.31502465</f>
        <v>-0.79123957924162891</v>
      </c>
      <c r="I2" s="3">
        <v>0.72785402088399997</v>
      </c>
      <c r="J2" s="88">
        <v>66000</v>
      </c>
      <c r="K2" s="3">
        <v>0.44707947276900001</v>
      </c>
      <c r="L2" s="88">
        <v>66000</v>
      </c>
      <c r="M2" s="3">
        <v>1.7818384784300001</v>
      </c>
      <c r="N2" s="88">
        <v>66100</v>
      </c>
      <c r="O2" s="3">
        <v>0.44707947276900001</v>
      </c>
      <c r="P2" s="88">
        <v>66050</v>
      </c>
    </row>
    <row r="3" spans="1:16">
      <c r="A3" s="41" t="s">
        <v>37</v>
      </c>
      <c r="B3" s="41" t="s">
        <v>38</v>
      </c>
      <c r="C3" s="42">
        <v>66.057299999999998</v>
      </c>
      <c r="D3" s="28">
        <f t="shared" si="0"/>
        <v>66057.3</v>
      </c>
      <c r="E3" s="41" t="s">
        <v>30</v>
      </c>
      <c r="F3" s="46">
        <v>21.14</v>
      </c>
      <c r="G3" s="44">
        <v>1.28</v>
      </c>
      <c r="H3" s="101">
        <f t="shared" ref="H3:H47" si="1">(F3-21.69173913)/2.31502465</f>
        <v>-0.23832969985870253</v>
      </c>
      <c r="I3" s="3">
        <v>1.98486007476</v>
      </c>
      <c r="J3" s="88">
        <v>66200</v>
      </c>
      <c r="K3" s="3">
        <v>2.14576548887</v>
      </c>
      <c r="L3" s="88">
        <v>66150</v>
      </c>
      <c r="M3" s="3">
        <v>1.96542183681</v>
      </c>
      <c r="N3" s="88">
        <v>66200</v>
      </c>
      <c r="O3" s="3">
        <v>2.19868069217</v>
      </c>
      <c r="P3" s="88">
        <v>66100</v>
      </c>
    </row>
    <row r="4" spans="1:16">
      <c r="A4" s="41" t="s">
        <v>37</v>
      </c>
      <c r="B4" s="41" t="s">
        <v>38</v>
      </c>
      <c r="C4" s="42">
        <v>66.060100000000006</v>
      </c>
      <c r="D4" s="28">
        <f t="shared" si="0"/>
        <v>66060.100000000006</v>
      </c>
      <c r="E4" s="41" t="s">
        <v>30</v>
      </c>
      <c r="F4" s="46">
        <v>22.01</v>
      </c>
      <c r="G4" s="44">
        <v>2.15</v>
      </c>
      <c r="H4" s="101">
        <f t="shared" si="1"/>
        <v>0.13747623378438029</v>
      </c>
      <c r="I4" s="3">
        <v>0.41360250741600002</v>
      </c>
      <c r="J4" s="88">
        <v>66400</v>
      </c>
      <c r="K4" s="3">
        <v>0.61338439742200002</v>
      </c>
      <c r="L4" s="88">
        <v>66300</v>
      </c>
      <c r="M4" s="3">
        <v>1.4578678459800001</v>
      </c>
      <c r="N4" s="88">
        <v>66300</v>
      </c>
      <c r="O4" s="3">
        <v>1.76887965313</v>
      </c>
      <c r="P4" s="88">
        <v>66150</v>
      </c>
    </row>
    <row r="5" spans="1:16">
      <c r="A5" s="41" t="s">
        <v>37</v>
      </c>
      <c r="B5" s="41" t="s">
        <v>38</v>
      </c>
      <c r="C5" s="42">
        <v>66.0642</v>
      </c>
      <c r="D5" s="28">
        <f t="shared" si="0"/>
        <v>66064.2</v>
      </c>
      <c r="E5" s="41" t="s">
        <v>30</v>
      </c>
      <c r="F5" s="46">
        <v>19.45</v>
      </c>
      <c r="G5" s="44">
        <v>0</v>
      </c>
      <c r="H5" s="101">
        <f t="shared" si="1"/>
        <v>-0.96834352498147236</v>
      </c>
      <c r="I5" s="3">
        <v>0.52267262033799999</v>
      </c>
      <c r="J5" s="88">
        <v>66600</v>
      </c>
      <c r="K5" s="3">
        <v>0.29481327552100001</v>
      </c>
      <c r="L5" s="88">
        <v>66450</v>
      </c>
      <c r="M5" s="3">
        <v>0.39308436736199998</v>
      </c>
      <c r="N5" s="88">
        <v>66400</v>
      </c>
      <c r="O5" s="3">
        <v>1.5032237345299999</v>
      </c>
      <c r="P5" s="88">
        <v>66200</v>
      </c>
    </row>
    <row r="6" spans="1:16">
      <c r="A6" s="41" t="s">
        <v>37</v>
      </c>
      <c r="B6" s="41" t="s">
        <v>38</v>
      </c>
      <c r="C6" s="42">
        <v>66.064700000000002</v>
      </c>
      <c r="D6" s="28">
        <f t="shared" si="0"/>
        <v>66064.7</v>
      </c>
      <c r="E6" s="41" t="s">
        <v>30</v>
      </c>
      <c r="F6" s="46">
        <v>21.69</v>
      </c>
      <c r="G6" s="44">
        <v>1.83</v>
      </c>
      <c r="H6" s="101">
        <f t="shared" si="1"/>
        <v>-7.5123606135128914E-4</v>
      </c>
      <c r="K6" s="3">
        <v>0.52267262033799999</v>
      </c>
      <c r="L6" s="88">
        <v>66600</v>
      </c>
      <c r="M6" s="3">
        <v>0.52267262033799999</v>
      </c>
      <c r="N6" s="88">
        <v>66600</v>
      </c>
      <c r="O6" s="3">
        <v>0.97191189732299998</v>
      </c>
      <c r="P6" s="88">
        <v>66250</v>
      </c>
    </row>
    <row r="7" spans="1:16">
      <c r="A7" s="41" t="s">
        <v>37</v>
      </c>
      <c r="B7" s="41" t="s">
        <v>38</v>
      </c>
      <c r="C7" s="42">
        <v>66.067999999999998</v>
      </c>
      <c r="D7" s="28">
        <f t="shared" si="0"/>
        <v>66068</v>
      </c>
      <c r="E7" s="41" t="s">
        <v>30</v>
      </c>
      <c r="F7" s="46">
        <v>20.59</v>
      </c>
      <c r="G7" s="44">
        <v>0.73</v>
      </c>
      <c r="H7" s="101">
        <f t="shared" si="1"/>
        <v>-0.47590816365605382</v>
      </c>
      <c r="O7" s="3">
        <v>0.32397063244099999</v>
      </c>
      <c r="P7" s="88">
        <v>66300</v>
      </c>
    </row>
    <row r="8" spans="1:16">
      <c r="A8" s="41" t="s">
        <v>37</v>
      </c>
      <c r="B8" s="41" t="s">
        <v>38</v>
      </c>
      <c r="C8" s="42">
        <v>66.070300000000003</v>
      </c>
      <c r="D8" s="28">
        <f t="shared" si="0"/>
        <v>66070.3</v>
      </c>
      <c r="E8" s="41" t="s">
        <v>30</v>
      </c>
      <c r="F8" s="46">
        <v>21.36</v>
      </c>
      <c r="G8" s="44">
        <v>1.51</v>
      </c>
      <c r="H8" s="101">
        <f t="shared" si="1"/>
        <v>-0.14329831433976264</v>
      </c>
      <c r="O8" s="3">
        <v>0.46435790649899999</v>
      </c>
      <c r="P8" s="88">
        <v>66350</v>
      </c>
    </row>
    <row r="9" spans="1:16">
      <c r="A9" s="41" t="s">
        <v>37</v>
      </c>
      <c r="B9" s="41" t="s">
        <v>38</v>
      </c>
      <c r="C9" s="42">
        <v>66.070800000000006</v>
      </c>
      <c r="D9" s="28">
        <f t="shared" si="0"/>
        <v>66070.8</v>
      </c>
      <c r="E9" s="41" t="s">
        <v>30</v>
      </c>
      <c r="F9" s="46">
        <v>20.91</v>
      </c>
      <c r="G9" s="44">
        <v>1.05</v>
      </c>
      <c r="H9" s="101">
        <f t="shared" si="1"/>
        <v>-0.33768069381032223</v>
      </c>
      <c r="O9" s="3">
        <v>0.19654218368099999</v>
      </c>
      <c r="P9" s="88">
        <v>66400</v>
      </c>
    </row>
    <row r="10" spans="1:16">
      <c r="A10" s="41" t="s">
        <v>37</v>
      </c>
      <c r="B10" s="41" t="s">
        <v>38</v>
      </c>
      <c r="C10" s="42">
        <v>66.075000000000003</v>
      </c>
      <c r="D10" s="28">
        <f t="shared" si="0"/>
        <v>66075</v>
      </c>
      <c r="E10" s="41" t="s">
        <v>30</v>
      </c>
      <c r="F10" s="46">
        <v>19.22</v>
      </c>
      <c r="G10" s="44">
        <v>-0.23</v>
      </c>
      <c r="H10" s="101">
        <f t="shared" si="1"/>
        <v>-1.067694518933092</v>
      </c>
      <c r="O10" s="3">
        <v>0.30453239449500003</v>
      </c>
      <c r="P10" s="88">
        <v>66450</v>
      </c>
    </row>
    <row r="11" spans="1:16">
      <c r="A11" s="41" t="s">
        <v>37</v>
      </c>
      <c r="B11" s="41" t="s">
        <v>38</v>
      </c>
      <c r="C11" s="42">
        <v>66.075000000000003</v>
      </c>
      <c r="D11" s="28">
        <f t="shared" si="0"/>
        <v>66075</v>
      </c>
      <c r="E11" s="41" t="s">
        <v>30</v>
      </c>
      <c r="F11" s="46">
        <v>21.36</v>
      </c>
      <c r="G11" s="44">
        <v>1.51</v>
      </c>
      <c r="H11" s="101">
        <f t="shared" si="1"/>
        <v>-0.14329831433976264</v>
      </c>
      <c r="O11" s="3">
        <v>0.52267262033799999</v>
      </c>
      <c r="P11" s="88">
        <v>66550</v>
      </c>
    </row>
    <row r="12" spans="1:16">
      <c r="A12" s="41" t="s">
        <v>37</v>
      </c>
      <c r="B12" s="41" t="s">
        <v>38</v>
      </c>
      <c r="C12" s="42">
        <v>66.098299999999995</v>
      </c>
      <c r="D12" s="28">
        <f t="shared" si="0"/>
        <v>66098.299999999988</v>
      </c>
      <c r="E12" s="41" t="s">
        <v>30</v>
      </c>
      <c r="F12" s="46">
        <v>19.36</v>
      </c>
      <c r="G12" s="44">
        <v>-0.09</v>
      </c>
      <c r="H12" s="101">
        <f t="shared" si="1"/>
        <v>-1.0072200008755843</v>
      </c>
    </row>
    <row r="13" spans="1:16">
      <c r="A13" s="41" t="s">
        <v>37</v>
      </c>
      <c r="B13" s="41" t="s">
        <v>38</v>
      </c>
      <c r="C13" s="42">
        <v>66.098299999999995</v>
      </c>
      <c r="D13" s="28">
        <f t="shared" si="0"/>
        <v>66098.299999999988</v>
      </c>
      <c r="E13" s="41" t="s">
        <v>30</v>
      </c>
      <c r="F13" s="46">
        <v>24.12</v>
      </c>
      <c r="G13" s="44">
        <v>4.26</v>
      </c>
      <c r="H13" s="101">
        <f t="shared" si="1"/>
        <v>1.0489136130796719</v>
      </c>
    </row>
    <row r="14" spans="1:16">
      <c r="A14" s="41" t="s">
        <v>37</v>
      </c>
      <c r="B14" s="41" t="s">
        <v>38</v>
      </c>
      <c r="C14" s="42">
        <v>66.113200000000006</v>
      </c>
      <c r="D14" s="28">
        <f t="shared" si="0"/>
        <v>66113.200000000012</v>
      </c>
      <c r="E14" s="41" t="s">
        <v>30</v>
      </c>
      <c r="F14" s="46">
        <v>23.62</v>
      </c>
      <c r="G14" s="44">
        <v>3.76</v>
      </c>
      <c r="H14" s="101">
        <f t="shared" si="1"/>
        <v>0.83293319144571643</v>
      </c>
    </row>
    <row r="15" spans="1:16">
      <c r="A15" s="41" t="s">
        <v>37</v>
      </c>
      <c r="B15" s="41" t="s">
        <v>38</v>
      </c>
      <c r="C15" s="42">
        <v>66.121600000000001</v>
      </c>
      <c r="D15" s="28">
        <f t="shared" si="0"/>
        <v>66121.600000000006</v>
      </c>
      <c r="E15" s="41" t="s">
        <v>30</v>
      </c>
      <c r="F15" s="46">
        <v>19.63</v>
      </c>
      <c r="G15" s="44">
        <v>0.18</v>
      </c>
      <c r="H15" s="101">
        <f t="shared" si="1"/>
        <v>-0.89059057319324852</v>
      </c>
    </row>
    <row r="16" spans="1:16">
      <c r="A16" s="41" t="s">
        <v>37</v>
      </c>
      <c r="B16" s="41" t="s">
        <v>38</v>
      </c>
      <c r="C16" s="42">
        <v>66.121600000000001</v>
      </c>
      <c r="D16" s="28">
        <f t="shared" si="0"/>
        <v>66121.600000000006</v>
      </c>
      <c r="E16" s="41" t="s">
        <v>30</v>
      </c>
      <c r="F16" s="46">
        <v>26.25</v>
      </c>
      <c r="G16" s="44">
        <v>6.39</v>
      </c>
      <c r="H16" s="101">
        <f t="shared" si="1"/>
        <v>1.9689902092403215</v>
      </c>
    </row>
    <row r="17" spans="1:8">
      <c r="A17" s="41" t="s">
        <v>37</v>
      </c>
      <c r="B17" s="41" t="s">
        <v>38</v>
      </c>
      <c r="C17" s="42">
        <v>66.121600000000001</v>
      </c>
      <c r="D17" s="28">
        <f t="shared" si="0"/>
        <v>66121.600000000006</v>
      </c>
      <c r="E17" s="41" t="s">
        <v>30</v>
      </c>
      <c r="F17" s="46">
        <v>26.25</v>
      </c>
      <c r="G17" s="44">
        <v>6.39</v>
      </c>
      <c r="H17" s="101">
        <f t="shared" si="1"/>
        <v>1.9689902092403215</v>
      </c>
    </row>
    <row r="18" spans="1:8">
      <c r="A18" s="41" t="s">
        <v>37</v>
      </c>
      <c r="B18" s="41" t="s">
        <v>38</v>
      </c>
      <c r="C18" s="42">
        <v>66.144900000000007</v>
      </c>
      <c r="D18" s="28">
        <f t="shared" si="0"/>
        <v>66144.900000000009</v>
      </c>
      <c r="E18" s="41" t="s">
        <v>30</v>
      </c>
      <c r="F18" s="46">
        <v>19.579999999999998</v>
      </c>
      <c r="G18" s="44">
        <v>0.14000000000000001</v>
      </c>
      <c r="H18" s="101">
        <f t="shared" si="1"/>
        <v>-0.91218861535664442</v>
      </c>
    </row>
    <row r="19" spans="1:8">
      <c r="A19" s="41" t="s">
        <v>37</v>
      </c>
      <c r="B19" s="41" t="s">
        <v>38</v>
      </c>
      <c r="C19" s="42">
        <v>66.144900000000007</v>
      </c>
      <c r="D19" s="28">
        <f t="shared" si="0"/>
        <v>66144.900000000009</v>
      </c>
      <c r="E19" s="41" t="s">
        <v>30</v>
      </c>
      <c r="F19" s="46">
        <v>25.32</v>
      </c>
      <c r="G19" s="44">
        <v>5.47</v>
      </c>
      <c r="H19" s="101">
        <f t="shared" si="1"/>
        <v>1.5672666250011644</v>
      </c>
    </row>
    <row r="20" spans="1:8">
      <c r="A20" s="41" t="s">
        <v>37</v>
      </c>
      <c r="B20" s="41" t="s">
        <v>38</v>
      </c>
      <c r="C20" s="42">
        <v>66.144900000000007</v>
      </c>
      <c r="D20" s="28">
        <f t="shared" si="0"/>
        <v>66144.900000000009</v>
      </c>
      <c r="E20" s="41" t="s">
        <v>30</v>
      </c>
      <c r="F20" s="46">
        <v>25.32</v>
      </c>
      <c r="G20" s="44">
        <v>5.47</v>
      </c>
      <c r="H20" s="101">
        <f t="shared" si="1"/>
        <v>1.5672666250011644</v>
      </c>
    </row>
    <row r="21" spans="1:8">
      <c r="A21" s="41" t="s">
        <v>37</v>
      </c>
      <c r="B21" s="41" t="s">
        <v>38</v>
      </c>
      <c r="C21" s="42">
        <v>66.168199999999999</v>
      </c>
      <c r="D21" s="28">
        <f t="shared" si="0"/>
        <v>66168.2</v>
      </c>
      <c r="E21" s="41" t="s">
        <v>30</v>
      </c>
      <c r="F21" s="46">
        <v>19.86</v>
      </c>
      <c r="G21" s="44">
        <v>0.41</v>
      </c>
      <c r="H21" s="101">
        <f t="shared" si="1"/>
        <v>-0.79123957924162891</v>
      </c>
    </row>
    <row r="22" spans="1:8">
      <c r="A22" s="41" t="s">
        <v>37</v>
      </c>
      <c r="B22" s="41" t="s">
        <v>38</v>
      </c>
      <c r="C22" s="42">
        <v>66.168199999999999</v>
      </c>
      <c r="D22" s="28">
        <f t="shared" si="0"/>
        <v>66168.2</v>
      </c>
      <c r="E22" s="41" t="s">
        <v>30</v>
      </c>
      <c r="F22" s="46">
        <v>24.68</v>
      </c>
      <c r="G22" s="44">
        <v>4.82</v>
      </c>
      <c r="H22" s="101">
        <f t="shared" si="1"/>
        <v>1.2908116853097014</v>
      </c>
    </row>
    <row r="23" spans="1:8">
      <c r="A23" s="41" t="s">
        <v>37</v>
      </c>
      <c r="B23" s="41" t="s">
        <v>38</v>
      </c>
      <c r="C23" s="42">
        <v>66.168199999999999</v>
      </c>
      <c r="D23" s="28">
        <f t="shared" si="0"/>
        <v>66168.2</v>
      </c>
      <c r="E23" s="41" t="s">
        <v>30</v>
      </c>
      <c r="F23" s="46">
        <v>24.68</v>
      </c>
      <c r="G23" s="44">
        <v>4.82</v>
      </c>
      <c r="H23" s="101">
        <f t="shared" si="1"/>
        <v>1.2908116853097014</v>
      </c>
    </row>
    <row r="24" spans="1:8">
      <c r="A24" s="41" t="s">
        <v>37</v>
      </c>
      <c r="B24" s="41" t="s">
        <v>38</v>
      </c>
      <c r="C24" s="42">
        <v>66.191599999999994</v>
      </c>
      <c r="D24" s="28">
        <f t="shared" si="0"/>
        <v>66191.599999999991</v>
      </c>
      <c r="E24" s="41" t="s">
        <v>30</v>
      </c>
      <c r="F24" s="46">
        <v>19.63</v>
      </c>
      <c r="G24" s="44">
        <v>0.18</v>
      </c>
      <c r="H24" s="101">
        <f t="shared" si="1"/>
        <v>-0.89059057319324852</v>
      </c>
    </row>
    <row r="25" spans="1:8">
      <c r="A25" s="41" t="s">
        <v>37</v>
      </c>
      <c r="B25" s="41" t="s">
        <v>38</v>
      </c>
      <c r="C25" s="42">
        <v>66.191599999999994</v>
      </c>
      <c r="D25" s="28">
        <f t="shared" si="0"/>
        <v>66191.599999999991</v>
      </c>
      <c r="E25" s="41" t="s">
        <v>30</v>
      </c>
      <c r="F25" s="46">
        <v>24.77</v>
      </c>
      <c r="G25" s="44">
        <v>4.91</v>
      </c>
      <c r="H25" s="101">
        <f t="shared" si="1"/>
        <v>1.3296881612038134</v>
      </c>
    </row>
    <row r="26" spans="1:8">
      <c r="A26" s="41" t="s">
        <v>37</v>
      </c>
      <c r="B26" s="41" t="s">
        <v>38</v>
      </c>
      <c r="C26" s="42">
        <v>66.191599999999994</v>
      </c>
      <c r="D26" s="28">
        <f t="shared" si="0"/>
        <v>66191.599999999991</v>
      </c>
      <c r="E26" s="41" t="s">
        <v>30</v>
      </c>
      <c r="F26" s="46">
        <v>24.77</v>
      </c>
      <c r="G26" s="44">
        <v>4.91</v>
      </c>
      <c r="H26" s="101">
        <f t="shared" si="1"/>
        <v>1.3296881612038134</v>
      </c>
    </row>
    <row r="27" spans="1:8">
      <c r="A27" s="41" t="s">
        <v>37</v>
      </c>
      <c r="B27" s="41" t="s">
        <v>38</v>
      </c>
      <c r="C27" s="42">
        <v>66.2149</v>
      </c>
      <c r="D27" s="28">
        <f t="shared" si="0"/>
        <v>66214.899999999994</v>
      </c>
      <c r="E27" s="41" t="s">
        <v>30</v>
      </c>
      <c r="F27" s="46">
        <v>20.13</v>
      </c>
      <c r="G27" s="44">
        <v>0.68</v>
      </c>
      <c r="H27" s="101">
        <f t="shared" si="1"/>
        <v>-0.67461015155929316</v>
      </c>
    </row>
    <row r="28" spans="1:8">
      <c r="A28" s="41" t="s">
        <v>37</v>
      </c>
      <c r="B28" s="41" t="s">
        <v>38</v>
      </c>
      <c r="C28" s="42">
        <v>66.2149</v>
      </c>
      <c r="D28" s="28">
        <f t="shared" si="0"/>
        <v>66214.899999999994</v>
      </c>
      <c r="E28" s="41" t="s">
        <v>30</v>
      </c>
      <c r="F28" s="46">
        <v>24.63</v>
      </c>
      <c r="G28" s="44">
        <v>4.7699999999999996</v>
      </c>
      <c r="H28" s="101">
        <f t="shared" si="1"/>
        <v>1.2692136431463055</v>
      </c>
    </row>
    <row r="29" spans="1:8">
      <c r="A29" s="41" t="s">
        <v>37</v>
      </c>
      <c r="B29" s="41" t="s">
        <v>38</v>
      </c>
      <c r="C29" s="42">
        <v>66.2149</v>
      </c>
      <c r="D29" s="28">
        <f t="shared" si="0"/>
        <v>66214.899999999994</v>
      </c>
      <c r="E29" s="41" t="s">
        <v>30</v>
      </c>
      <c r="F29" s="46">
        <v>24.63</v>
      </c>
      <c r="G29" s="44">
        <v>4.7699999999999996</v>
      </c>
      <c r="H29" s="101">
        <f t="shared" si="1"/>
        <v>1.2692136431463055</v>
      </c>
    </row>
    <row r="30" spans="1:8">
      <c r="A30" s="41" t="s">
        <v>37</v>
      </c>
      <c r="B30" s="41" t="s">
        <v>38</v>
      </c>
      <c r="C30" s="42">
        <v>66.266199999999998</v>
      </c>
      <c r="D30" s="28">
        <f t="shared" si="0"/>
        <v>66266.2</v>
      </c>
      <c r="E30" s="41" t="s">
        <v>30</v>
      </c>
      <c r="F30" s="46">
        <v>20.22</v>
      </c>
      <c r="G30" s="44">
        <v>0.77</v>
      </c>
      <c r="H30" s="101">
        <f t="shared" si="1"/>
        <v>-0.63573367566518124</v>
      </c>
    </row>
    <row r="31" spans="1:8">
      <c r="A31" s="41" t="s">
        <v>37</v>
      </c>
      <c r="B31" s="41" t="s">
        <v>38</v>
      </c>
      <c r="C31" s="42">
        <v>66.266199999999998</v>
      </c>
      <c r="D31" s="28">
        <f t="shared" si="0"/>
        <v>66266.2</v>
      </c>
      <c r="E31" s="41" t="s">
        <v>30</v>
      </c>
      <c r="F31" s="46">
        <v>24.72</v>
      </c>
      <c r="G31" s="44">
        <v>4.8600000000000003</v>
      </c>
      <c r="H31" s="101">
        <f t="shared" si="1"/>
        <v>1.3080901190404175</v>
      </c>
    </row>
    <row r="32" spans="1:8">
      <c r="A32" s="41" t="s">
        <v>37</v>
      </c>
      <c r="B32" s="41" t="s">
        <v>38</v>
      </c>
      <c r="C32" s="42">
        <v>66.266199999999998</v>
      </c>
      <c r="D32" s="28">
        <f t="shared" si="0"/>
        <v>66266.2</v>
      </c>
      <c r="E32" s="41" t="s">
        <v>30</v>
      </c>
      <c r="F32" s="46">
        <v>24.72</v>
      </c>
      <c r="G32" s="44">
        <v>4.8600000000000003</v>
      </c>
      <c r="H32" s="101">
        <f t="shared" si="1"/>
        <v>1.3080901190404175</v>
      </c>
    </row>
    <row r="33" spans="1:8">
      <c r="A33" s="41" t="s">
        <v>37</v>
      </c>
      <c r="B33" s="41" t="s">
        <v>38</v>
      </c>
      <c r="C33" s="42">
        <v>66.308099999999996</v>
      </c>
      <c r="D33" s="28">
        <f t="shared" si="0"/>
        <v>66308.099999999991</v>
      </c>
      <c r="E33" s="41" t="s">
        <v>30</v>
      </c>
      <c r="F33" s="46">
        <v>19.04</v>
      </c>
      <c r="G33" s="44">
        <v>-0.41</v>
      </c>
      <c r="H33" s="101">
        <f t="shared" si="1"/>
        <v>-1.1454474707213158</v>
      </c>
    </row>
    <row r="34" spans="1:8">
      <c r="A34" s="41" t="s">
        <v>37</v>
      </c>
      <c r="B34" s="41" t="s">
        <v>38</v>
      </c>
      <c r="C34" s="42">
        <v>66.308099999999996</v>
      </c>
      <c r="D34" s="28">
        <f t="shared" si="0"/>
        <v>66308.099999999991</v>
      </c>
      <c r="E34" s="41" t="s">
        <v>30</v>
      </c>
      <c r="F34" s="46">
        <v>20.54</v>
      </c>
      <c r="G34" s="44">
        <v>0.68</v>
      </c>
      <c r="H34" s="101">
        <f t="shared" si="1"/>
        <v>-0.49750620581944965</v>
      </c>
    </row>
    <row r="35" spans="1:8">
      <c r="A35" s="41" t="s">
        <v>37</v>
      </c>
      <c r="B35" s="41" t="s">
        <v>38</v>
      </c>
      <c r="C35" s="42">
        <v>66.308099999999996</v>
      </c>
      <c r="D35" s="28">
        <f t="shared" si="0"/>
        <v>66308.099999999991</v>
      </c>
      <c r="E35" s="41" t="s">
        <v>30</v>
      </c>
      <c r="F35" s="46">
        <v>20.54</v>
      </c>
      <c r="G35" s="44">
        <v>0.68</v>
      </c>
      <c r="H35" s="101">
        <f t="shared" si="1"/>
        <v>-0.49750620581944965</v>
      </c>
    </row>
    <row r="36" spans="1:8">
      <c r="A36" s="41" t="s">
        <v>37</v>
      </c>
      <c r="B36" s="41" t="s">
        <v>38</v>
      </c>
      <c r="C36" s="42">
        <v>66.354799999999997</v>
      </c>
      <c r="D36" s="28">
        <f t="shared" si="0"/>
        <v>66354.8</v>
      </c>
      <c r="E36" s="41" t="s">
        <v>30</v>
      </c>
      <c r="F36" s="46">
        <v>19.489999999999998</v>
      </c>
      <c r="G36" s="44">
        <v>0.05</v>
      </c>
      <c r="H36" s="101">
        <f t="shared" si="1"/>
        <v>-0.95106509125075633</v>
      </c>
    </row>
    <row r="37" spans="1:8">
      <c r="A37" s="41" t="s">
        <v>37</v>
      </c>
      <c r="B37" s="41" t="s">
        <v>38</v>
      </c>
      <c r="C37" s="42">
        <v>66.354799999999997</v>
      </c>
      <c r="D37" s="28">
        <f t="shared" si="0"/>
        <v>66354.8</v>
      </c>
      <c r="E37" s="41" t="s">
        <v>30</v>
      </c>
      <c r="F37" s="46">
        <v>21.64</v>
      </c>
      <c r="G37" s="44">
        <v>1.78</v>
      </c>
      <c r="H37" s="101">
        <f t="shared" si="1"/>
        <v>-2.2349278224747138E-2</v>
      </c>
    </row>
    <row r="38" spans="1:8">
      <c r="A38" s="41" t="s">
        <v>37</v>
      </c>
      <c r="B38" s="41" t="s">
        <v>38</v>
      </c>
      <c r="C38" s="42">
        <v>66.354799999999997</v>
      </c>
      <c r="D38" s="28">
        <f t="shared" si="0"/>
        <v>66354.8</v>
      </c>
      <c r="E38" s="41" t="s">
        <v>30</v>
      </c>
      <c r="F38" s="46">
        <v>21.64</v>
      </c>
      <c r="G38" s="44">
        <v>1.78</v>
      </c>
      <c r="H38" s="101">
        <f t="shared" si="1"/>
        <v>-2.2349278224747138E-2</v>
      </c>
    </row>
    <row r="39" spans="1:8">
      <c r="A39" s="41" t="s">
        <v>37</v>
      </c>
      <c r="B39" s="41" t="s">
        <v>38</v>
      </c>
      <c r="C39" s="42">
        <v>66.401399999999995</v>
      </c>
      <c r="D39" s="28">
        <f t="shared" si="0"/>
        <v>66401.399999999994</v>
      </c>
      <c r="E39" s="41" t="s">
        <v>30</v>
      </c>
      <c r="F39" s="46">
        <v>19.68</v>
      </c>
      <c r="G39" s="44">
        <v>0.23</v>
      </c>
      <c r="H39" s="101">
        <f t="shared" si="1"/>
        <v>-0.86899253102985274</v>
      </c>
    </row>
    <row r="40" spans="1:8">
      <c r="A40" s="41" t="s">
        <v>37</v>
      </c>
      <c r="B40" s="41" t="s">
        <v>38</v>
      </c>
      <c r="C40" s="42">
        <v>66.401399999999995</v>
      </c>
      <c r="D40" s="28">
        <f t="shared" si="0"/>
        <v>66401.399999999994</v>
      </c>
      <c r="E40" s="41" t="s">
        <v>30</v>
      </c>
      <c r="F40" s="46">
        <v>20.59</v>
      </c>
      <c r="G40" s="44">
        <v>0.73</v>
      </c>
      <c r="H40" s="101">
        <f t="shared" si="1"/>
        <v>-0.47590816365605382</v>
      </c>
    </row>
    <row r="41" spans="1:8">
      <c r="A41" s="41" t="s">
        <v>37</v>
      </c>
      <c r="B41" s="41" t="s">
        <v>38</v>
      </c>
      <c r="C41" s="42">
        <v>66.401399999999995</v>
      </c>
      <c r="D41" s="28">
        <f t="shared" si="0"/>
        <v>66401.399999999994</v>
      </c>
      <c r="E41" s="41" t="s">
        <v>30</v>
      </c>
      <c r="F41" s="46">
        <v>20.59</v>
      </c>
      <c r="G41" s="44">
        <v>0.73</v>
      </c>
      <c r="H41" s="101">
        <f t="shared" si="1"/>
        <v>-0.47590816365605382</v>
      </c>
    </row>
    <row r="42" spans="1:8">
      <c r="A42" s="41" t="s">
        <v>37</v>
      </c>
      <c r="B42" s="41" t="s">
        <v>38</v>
      </c>
      <c r="C42" s="42">
        <v>66.447999999999993</v>
      </c>
      <c r="D42" s="28">
        <f t="shared" si="0"/>
        <v>66448</v>
      </c>
      <c r="E42" s="41" t="s">
        <v>30</v>
      </c>
      <c r="F42" s="46">
        <v>18.27</v>
      </c>
      <c r="G42" s="44">
        <v>-1.18</v>
      </c>
      <c r="H42" s="101">
        <f t="shared" si="1"/>
        <v>-1.478057320037607</v>
      </c>
    </row>
    <row r="43" spans="1:8">
      <c r="A43" s="41" t="s">
        <v>37</v>
      </c>
      <c r="B43" s="41" t="s">
        <v>38</v>
      </c>
      <c r="C43" s="42">
        <v>66.447999999999993</v>
      </c>
      <c r="D43" s="28">
        <f t="shared" si="0"/>
        <v>66448</v>
      </c>
      <c r="E43" s="41" t="s">
        <v>30</v>
      </c>
      <c r="F43" s="46">
        <v>19.68</v>
      </c>
      <c r="G43" s="44">
        <v>-0.18</v>
      </c>
      <c r="H43" s="101">
        <f t="shared" si="1"/>
        <v>-0.86899253102985274</v>
      </c>
    </row>
    <row r="44" spans="1:8">
      <c r="A44" s="41" t="s">
        <v>37</v>
      </c>
      <c r="B44" s="41" t="s">
        <v>38</v>
      </c>
      <c r="C44" s="42">
        <v>66.447999999999993</v>
      </c>
      <c r="D44" s="28">
        <f t="shared" si="0"/>
        <v>66448</v>
      </c>
      <c r="E44" s="41" t="s">
        <v>30</v>
      </c>
      <c r="F44" s="46">
        <v>19.68</v>
      </c>
      <c r="G44" s="44">
        <v>-0.18</v>
      </c>
      <c r="H44" s="101">
        <f t="shared" si="1"/>
        <v>-0.86899253102985274</v>
      </c>
    </row>
    <row r="45" spans="1:8">
      <c r="A45" s="41" t="s">
        <v>37</v>
      </c>
      <c r="B45" s="41" t="s">
        <v>38</v>
      </c>
      <c r="C45" s="42">
        <v>66.558000000000007</v>
      </c>
      <c r="D45" s="28">
        <f t="shared" si="0"/>
        <v>66558</v>
      </c>
      <c r="E45" s="41" t="s">
        <v>30</v>
      </c>
      <c r="F45" s="46">
        <v>19.04</v>
      </c>
      <c r="G45" s="44">
        <v>-0.41</v>
      </c>
      <c r="H45" s="101">
        <f t="shared" si="1"/>
        <v>-1.1454474707213158</v>
      </c>
    </row>
    <row r="46" spans="1:8">
      <c r="A46" s="41" t="s">
        <v>37</v>
      </c>
      <c r="B46" s="41" t="s">
        <v>38</v>
      </c>
      <c r="C46" s="42">
        <v>66.558000000000007</v>
      </c>
      <c r="D46" s="28">
        <f t="shared" si="0"/>
        <v>66558</v>
      </c>
      <c r="E46" s="41" t="s">
        <v>30</v>
      </c>
      <c r="F46" s="46">
        <v>21.46</v>
      </c>
      <c r="G46" s="44">
        <v>1.6</v>
      </c>
      <c r="H46" s="101">
        <f t="shared" si="1"/>
        <v>-0.10010223001297096</v>
      </c>
    </row>
    <row r="47" spans="1:8">
      <c r="A47" s="41" t="s">
        <v>37</v>
      </c>
      <c r="B47" s="41" t="s">
        <v>38</v>
      </c>
      <c r="C47" s="42">
        <v>66.558000000000007</v>
      </c>
      <c r="D47" s="28">
        <f t="shared" si="0"/>
        <v>66558</v>
      </c>
      <c r="E47" s="41" t="s">
        <v>30</v>
      </c>
      <c r="F47" s="46">
        <v>21.46</v>
      </c>
      <c r="G47" s="44">
        <v>1.6</v>
      </c>
      <c r="H47" s="101">
        <f t="shared" si="1"/>
        <v>-0.10010223001297096</v>
      </c>
    </row>
    <row r="48" spans="1:8">
      <c r="D48" s="31"/>
      <c r="F48" s="1">
        <f>AVERAGE(F2:F47)</f>
        <v>21.69173913043478</v>
      </c>
    </row>
    <row r="49" spans="4:6">
      <c r="D49" s="31"/>
      <c r="F49" s="1">
        <f>STDEV(F2:F47)</f>
        <v>2.3150246500706855</v>
      </c>
    </row>
    <row r="50" spans="4:6">
      <c r="D50" s="31"/>
    </row>
    <row r="51" spans="4:6">
      <c r="D51" s="31"/>
    </row>
    <row r="52" spans="4:6">
      <c r="D52" s="31"/>
    </row>
    <row r="53" spans="4:6">
      <c r="D53" s="31"/>
    </row>
    <row r="54" spans="4:6">
      <c r="D54" s="31"/>
    </row>
    <row r="55" spans="4:6">
      <c r="D55" s="31"/>
    </row>
    <row r="56" spans="4:6">
      <c r="D56" s="31"/>
    </row>
    <row r="57" spans="4:6">
      <c r="D57" s="31"/>
    </row>
    <row r="58" spans="4:6">
      <c r="D58" s="31"/>
    </row>
    <row r="59" spans="4:6">
      <c r="D59" s="31"/>
    </row>
    <row r="60" spans="4:6">
      <c r="D60" s="31"/>
    </row>
    <row r="61" spans="4:6">
      <c r="D61" s="31"/>
    </row>
    <row r="62" spans="4:6">
      <c r="D62" s="31"/>
    </row>
    <row r="63" spans="4:6">
      <c r="D63" s="31"/>
    </row>
    <row r="64" spans="4:6">
      <c r="D64" s="31"/>
    </row>
    <row r="65" spans="4:4">
      <c r="D65" s="31"/>
    </row>
    <row r="66" spans="4:4">
      <c r="D66" s="31"/>
    </row>
    <row r="67" spans="4:4">
      <c r="D67" s="31"/>
    </row>
    <row r="68" spans="4:4">
      <c r="D68" s="31"/>
    </row>
    <row r="69" spans="4:4">
      <c r="D69" s="31"/>
    </row>
    <row r="70" spans="4:4">
      <c r="D70" s="31"/>
    </row>
    <row r="71" spans="4:4">
      <c r="D71" s="31"/>
    </row>
    <row r="72" spans="4:4">
      <c r="D72" s="31"/>
    </row>
    <row r="73" spans="4:4">
      <c r="D73" s="31"/>
    </row>
    <row r="74" spans="4:4">
      <c r="D74" s="31"/>
    </row>
    <row r="75" spans="4:4">
      <c r="D75" s="31"/>
    </row>
    <row r="76" spans="4:4">
      <c r="D76" s="31"/>
    </row>
    <row r="77" spans="4:4">
      <c r="D77" s="31"/>
    </row>
    <row r="78" spans="4:4">
      <c r="D78" s="31"/>
    </row>
    <row r="79" spans="4:4">
      <c r="D79" s="31"/>
    </row>
    <row r="80" spans="4:4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1"/>
    </row>
    <row r="88" spans="4:4">
      <c r="D88" s="31"/>
    </row>
    <row r="89" spans="4:4">
      <c r="D89" s="31"/>
    </row>
    <row r="90" spans="4:4">
      <c r="D90" s="31"/>
    </row>
    <row r="91" spans="4:4">
      <c r="D91" s="31"/>
    </row>
    <row r="92" spans="4:4">
      <c r="D92" s="31"/>
    </row>
    <row r="93" spans="4:4">
      <c r="D93" s="31"/>
    </row>
    <row r="94" spans="4:4">
      <c r="D94" s="31"/>
    </row>
    <row r="95" spans="4:4">
      <c r="D95" s="31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1"/>
    </row>
    <row r="230" spans="4:4">
      <c r="D230" s="31"/>
    </row>
    <row r="231" spans="4:4">
      <c r="D231" s="31"/>
    </row>
    <row r="232" spans="4:4">
      <c r="D232" s="31"/>
    </row>
    <row r="233" spans="4:4">
      <c r="D233" s="31"/>
    </row>
    <row r="234" spans="4:4">
      <c r="D234" s="31"/>
    </row>
    <row r="235" spans="4:4">
      <c r="D235" s="31"/>
    </row>
    <row r="236" spans="4:4">
      <c r="D236" s="31"/>
    </row>
    <row r="237" spans="4:4">
      <c r="D237" s="31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1"/>
    </row>
    <row r="245" spans="4:4">
      <c r="D245" s="31"/>
    </row>
    <row r="246" spans="4:4">
      <c r="D246" s="31"/>
    </row>
    <row r="247" spans="4:4">
      <c r="D247" s="31"/>
    </row>
    <row r="248" spans="4:4">
      <c r="D248" s="31"/>
    </row>
    <row r="249" spans="4:4">
      <c r="D249" s="31"/>
    </row>
    <row r="250" spans="4:4">
      <c r="D250" s="31"/>
    </row>
    <row r="251" spans="4:4">
      <c r="D251" s="31"/>
    </row>
    <row r="252" spans="4:4">
      <c r="D252" s="31"/>
    </row>
    <row r="253" spans="4:4">
      <c r="D253" s="31"/>
    </row>
    <row r="254" spans="4:4">
      <c r="D254" s="31"/>
    </row>
    <row r="255" spans="4:4">
      <c r="D255" s="31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3"/>
    </row>
    <row r="267" spans="4:4">
      <c r="D267" s="33"/>
    </row>
    <row r="268" spans="4:4">
      <c r="D268" s="33"/>
    </row>
    <row r="269" spans="4:4">
      <c r="D269" s="33"/>
    </row>
    <row r="270" spans="4:4">
      <c r="D270" s="33"/>
    </row>
    <row r="271" spans="4:4">
      <c r="D271" s="33"/>
    </row>
    <row r="272" spans="4:4">
      <c r="D272" s="33"/>
    </row>
    <row r="273" spans="4:4">
      <c r="D273" s="33"/>
    </row>
    <row r="274" spans="4:4">
      <c r="D274" s="33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1"/>
    </row>
    <row r="317" spans="4:4">
      <c r="D317" s="31"/>
    </row>
    <row r="318" spans="4:4">
      <c r="D318" s="31"/>
    </row>
    <row r="319" spans="4:4">
      <c r="D319" s="31"/>
    </row>
    <row r="320" spans="4:4">
      <c r="D320" s="31"/>
    </row>
    <row r="321" spans="4:4">
      <c r="D321" s="31"/>
    </row>
    <row r="322" spans="4:4">
      <c r="D32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3"/>
    </row>
    <row r="354" spans="4:4">
      <c r="D354" s="33"/>
    </row>
    <row r="355" spans="4:4">
      <c r="D355" s="33"/>
    </row>
    <row r="356" spans="4:4">
      <c r="D356" s="33"/>
    </row>
    <row r="357" spans="4:4">
      <c r="D357" s="33"/>
    </row>
    <row r="358" spans="4:4">
      <c r="D358" s="33"/>
    </row>
    <row r="359" spans="4:4">
      <c r="D359" s="33"/>
    </row>
    <row r="360" spans="4:4">
      <c r="D360" s="33"/>
    </row>
    <row r="361" spans="4:4">
      <c r="D361" s="33"/>
    </row>
    <row r="362" spans="4:4">
      <c r="D362" s="33"/>
    </row>
    <row r="363" spans="4:4">
      <c r="D363" s="33"/>
    </row>
    <row r="364" spans="4:4">
      <c r="D364" s="33"/>
    </row>
    <row r="365" spans="4:4">
      <c r="D365" s="33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7" spans="4:4">
      <c r="D797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2" spans="4:4">
      <c r="D882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7" spans="4:4">
      <c r="D927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3" spans="4:4">
      <c r="D983" s="31"/>
    </row>
    <row r="984" spans="4:4">
      <c r="D984" s="31"/>
    </row>
    <row r="985" spans="4:4">
      <c r="D985" s="31"/>
    </row>
    <row r="986" spans="4:4">
      <c r="D986" s="31"/>
    </row>
    <row r="987" spans="4:4">
      <c r="D987" s="31"/>
    </row>
    <row r="988" spans="4:4">
      <c r="D988" s="31"/>
    </row>
    <row r="989" spans="4:4">
      <c r="D989" s="31"/>
    </row>
    <row r="990" spans="4:4">
      <c r="D990" s="31"/>
    </row>
    <row r="991" spans="4:4">
      <c r="D991" s="31"/>
    </row>
    <row r="992" spans="4:4">
      <c r="D992" s="31"/>
    </row>
    <row r="993" spans="4:4">
      <c r="D993" s="31"/>
    </row>
    <row r="994" spans="4:4">
      <c r="D994" s="31"/>
    </row>
    <row r="995" spans="4:4">
      <c r="D995" s="31"/>
    </row>
    <row r="996" spans="4:4">
      <c r="D996" s="31"/>
    </row>
    <row r="997" spans="4:4">
      <c r="D997" s="31"/>
    </row>
    <row r="998" spans="4:4">
      <c r="D998" s="31"/>
    </row>
    <row r="999" spans="4:4">
      <c r="D999" s="31"/>
    </row>
    <row r="1000" spans="4:4">
      <c r="D1000" s="31"/>
    </row>
    <row r="1001" spans="4:4">
      <c r="D1001" s="31"/>
    </row>
    <row r="1002" spans="4:4">
      <c r="D1002" s="31"/>
    </row>
    <row r="1003" spans="4:4">
      <c r="D1003" s="31"/>
    </row>
    <row r="1004" spans="4:4">
      <c r="D1004" s="31"/>
    </row>
    <row r="1005" spans="4:4">
      <c r="D1005" s="31"/>
    </row>
    <row r="1006" spans="4:4">
      <c r="D1006" s="31"/>
    </row>
    <row r="1007" spans="4:4">
      <c r="D1007" s="31"/>
    </row>
    <row r="1008" spans="4:4">
      <c r="D1008" s="31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1" spans="4:4">
      <c r="D1021" s="39"/>
    </row>
    <row r="1022" spans="4:4">
      <c r="D1022" s="39"/>
    </row>
    <row r="1023" spans="4:4">
      <c r="D1023" s="39"/>
    </row>
    <row r="1024" spans="4:4">
      <c r="D1024" s="39"/>
    </row>
    <row r="1025" spans="4:4">
      <c r="D1025" s="39"/>
    </row>
    <row r="1026" spans="4:4">
      <c r="D1026" s="39"/>
    </row>
    <row r="1027" spans="4:4">
      <c r="D1027" s="39"/>
    </row>
    <row r="1028" spans="4:4">
      <c r="D1028" s="39"/>
    </row>
    <row r="1029" spans="4:4">
      <c r="D1029" s="39"/>
    </row>
    <row r="1030" spans="4:4">
      <c r="D1030" s="39"/>
    </row>
    <row r="1031" spans="4:4">
      <c r="D1031" s="39"/>
    </row>
    <row r="1032" spans="4:4">
      <c r="D1032" s="39"/>
    </row>
    <row r="1033" spans="4:4">
      <c r="D1033" s="39"/>
    </row>
    <row r="1034" spans="4:4">
      <c r="D1034" s="39"/>
    </row>
    <row r="1035" spans="4:4">
      <c r="D1035" s="39"/>
    </row>
    <row r="1036" spans="4:4">
      <c r="D1036" s="39"/>
    </row>
    <row r="1037" spans="4:4">
      <c r="D1037" s="39"/>
    </row>
    <row r="1038" spans="4:4">
      <c r="D1038" s="39"/>
    </row>
    <row r="1039" spans="4:4">
      <c r="D1039" s="39"/>
    </row>
    <row r="1040" spans="4:4">
      <c r="D1040" s="39"/>
    </row>
    <row r="1041" spans="4:4">
      <c r="D1041" s="39"/>
    </row>
    <row r="1042" spans="4:4">
      <c r="D1042" s="39"/>
    </row>
    <row r="1043" spans="4:4">
      <c r="D1043" s="39"/>
    </row>
    <row r="1044" spans="4:4">
      <c r="D1044" s="39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69" spans="4:4">
      <c r="D1069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39" spans="4:4">
      <c r="D1339" s="31"/>
    </row>
    <row r="1340" spans="4:4">
      <c r="D1340" s="31"/>
    </row>
    <row r="1341" spans="4:4">
      <c r="D1341" s="31"/>
    </row>
    <row r="1342" spans="4:4">
      <c r="D1342" s="31"/>
    </row>
    <row r="1343" spans="4:4">
      <c r="D1343" s="31"/>
    </row>
    <row r="1344" spans="4:4">
      <c r="D1344" s="31"/>
    </row>
    <row r="1345" spans="4:4">
      <c r="D1345" s="31"/>
    </row>
    <row r="1346" spans="4:4">
      <c r="D1346" s="31"/>
    </row>
    <row r="1347" spans="4:4">
      <c r="D1347" s="31"/>
    </row>
    <row r="1348" spans="4:4">
      <c r="D1348" s="31"/>
    </row>
    <row r="1349" spans="4:4">
      <c r="D1349" s="31"/>
    </row>
    <row r="1350" spans="4:4">
      <c r="D1350" s="31"/>
    </row>
    <row r="1351" spans="4:4">
      <c r="D1351" s="31"/>
    </row>
    <row r="1352" spans="4:4">
      <c r="D1352" s="31"/>
    </row>
    <row r="1353" spans="4:4">
      <c r="D1353" s="31"/>
    </row>
    <row r="1354" spans="4:4">
      <c r="D1354" s="31"/>
    </row>
    <row r="1355" spans="4:4">
      <c r="D1355" s="31"/>
    </row>
    <row r="1356" spans="4:4">
      <c r="D1356" s="31"/>
    </row>
    <row r="1357" spans="4:4">
      <c r="D1357" s="31"/>
    </row>
    <row r="1358" spans="4:4">
      <c r="D1358" s="31"/>
    </row>
    <row r="1359" spans="4:4">
      <c r="D1359" s="31"/>
    </row>
    <row r="1360" spans="4:4">
      <c r="D1360" s="31"/>
    </row>
    <row r="1361" spans="4:4">
      <c r="D1361" s="31"/>
    </row>
    <row r="1362" spans="4:4">
      <c r="D1362" s="31"/>
    </row>
    <row r="1363" spans="4:4">
      <c r="D1363" s="31"/>
    </row>
    <row r="1364" spans="4:4">
      <c r="D1364" s="31"/>
    </row>
    <row r="1365" spans="4:4">
      <c r="D1365" s="31"/>
    </row>
    <row r="1366" spans="4:4">
      <c r="D1366" s="31"/>
    </row>
    <row r="1367" spans="4:4">
      <c r="D1367" s="31"/>
    </row>
    <row r="1368" spans="4:4">
      <c r="D1368" s="31"/>
    </row>
    <row r="1369" spans="4:4">
      <c r="D1369" s="31"/>
    </row>
    <row r="1370" spans="4:4">
      <c r="D1370" s="31"/>
    </row>
    <row r="1371" spans="4:4">
      <c r="D1371" s="31"/>
    </row>
    <row r="1372" spans="4:4">
      <c r="D1372" s="31"/>
    </row>
    <row r="1373" spans="4:4">
      <c r="D1373" s="31"/>
    </row>
    <row r="1374" spans="4:4">
      <c r="D1374" s="31"/>
    </row>
    <row r="1375" spans="4:4">
      <c r="D1375" s="31"/>
    </row>
    <row r="1377" spans="4:4">
      <c r="D1377" s="31"/>
    </row>
    <row r="1378" spans="4:4">
      <c r="D1378" s="31"/>
    </row>
    <row r="1379" spans="4:4">
      <c r="D1379" s="31"/>
    </row>
    <row r="1380" spans="4:4">
      <c r="D1380" s="31"/>
    </row>
    <row r="1381" spans="4:4">
      <c r="D1381" s="31"/>
    </row>
    <row r="1382" spans="4:4">
      <c r="D1382" s="31"/>
    </row>
    <row r="1383" spans="4:4">
      <c r="D1383" s="31"/>
    </row>
    <row r="1384" spans="4:4">
      <c r="D1384" s="31"/>
    </row>
    <row r="1385" spans="4:4">
      <c r="D1385" s="31"/>
    </row>
    <row r="1386" spans="4:4">
      <c r="D1386" s="31"/>
    </row>
    <row r="1387" spans="4:4">
      <c r="D1387" s="31"/>
    </row>
    <row r="1388" spans="4:4">
      <c r="D1388" s="31"/>
    </row>
    <row r="1389" spans="4:4">
      <c r="D1389" s="31"/>
    </row>
    <row r="1390" spans="4:4">
      <c r="D1390" s="31"/>
    </row>
    <row r="1391" spans="4:4">
      <c r="D1391" s="31"/>
    </row>
    <row r="1392" spans="4:4">
      <c r="D1392" s="31"/>
    </row>
    <row r="1393" spans="4:4">
      <c r="D1393" s="31"/>
    </row>
    <row r="1394" spans="4:4">
      <c r="D1394" s="31"/>
    </row>
    <row r="1395" spans="4:4">
      <c r="D1395" s="31"/>
    </row>
    <row r="1396" spans="4:4">
      <c r="D1396" s="31"/>
    </row>
    <row r="1397" spans="4:4">
      <c r="D1397" s="31"/>
    </row>
    <row r="1398" spans="4:4">
      <c r="D1398" s="31"/>
    </row>
    <row r="1399" spans="4:4">
      <c r="D1399" s="31"/>
    </row>
    <row r="1400" spans="4:4">
      <c r="D1400" s="31"/>
    </row>
    <row r="1401" spans="4:4">
      <c r="D1401" s="31"/>
    </row>
    <row r="1402" spans="4:4">
      <c r="D1402" s="31"/>
    </row>
    <row r="1403" spans="4:4">
      <c r="D1403" s="31"/>
    </row>
    <row r="1404" spans="4:4">
      <c r="D1404" s="31"/>
    </row>
    <row r="1405" spans="4:4">
      <c r="D1405" s="31"/>
    </row>
    <row r="1406" spans="4:4">
      <c r="D1406" s="31"/>
    </row>
    <row r="1407" spans="4:4">
      <c r="D1407" s="31"/>
    </row>
    <row r="1408" spans="4:4">
      <c r="D1408" s="31"/>
    </row>
    <row r="1409" spans="4:4">
      <c r="D1409" s="31"/>
    </row>
    <row r="1410" spans="4:4">
      <c r="D1410" s="31"/>
    </row>
    <row r="1411" spans="4:4">
      <c r="D1411" s="31"/>
    </row>
    <row r="1412" spans="4:4">
      <c r="D1412" s="31"/>
    </row>
    <row r="1413" spans="4:4">
      <c r="D1413" s="31"/>
    </row>
    <row r="1414" spans="4:4">
      <c r="D1414" s="31"/>
    </row>
    <row r="1415" spans="4:4">
      <c r="D1415" s="31"/>
    </row>
    <row r="1416" spans="4:4">
      <c r="D1416" s="31"/>
    </row>
    <row r="1417" spans="4:4">
      <c r="D1417" s="31"/>
    </row>
    <row r="1418" spans="4:4">
      <c r="D1418" s="31"/>
    </row>
    <row r="1419" spans="4:4">
      <c r="D1419" s="31"/>
    </row>
    <row r="1420" spans="4:4">
      <c r="D1420" s="31"/>
    </row>
    <row r="1421" spans="4:4">
      <c r="D1421" s="31"/>
    </row>
    <row r="1422" spans="4:4">
      <c r="D1422" s="31"/>
    </row>
    <row r="1423" spans="4:4">
      <c r="D1423" s="31"/>
    </row>
    <row r="1424" spans="4:4">
      <c r="D1424" s="31"/>
    </row>
    <row r="1425" spans="4:4">
      <c r="D1425" s="31"/>
    </row>
    <row r="1426" spans="4:4">
      <c r="D1426" s="31"/>
    </row>
    <row r="1427" spans="4:4">
      <c r="D1427" s="31"/>
    </row>
    <row r="1428" spans="4:4">
      <c r="D1428" s="31"/>
    </row>
    <row r="1429" spans="4:4">
      <c r="D1429" s="31"/>
    </row>
    <row r="1430" spans="4:4">
      <c r="D1430" s="31"/>
    </row>
    <row r="1431" spans="4:4">
      <c r="D1431" s="31"/>
    </row>
    <row r="1432" spans="4:4">
      <c r="D1432" s="31"/>
    </row>
    <row r="1433" spans="4:4">
      <c r="D1433" s="31"/>
    </row>
    <row r="1434" spans="4:4">
      <c r="D1434" s="31"/>
    </row>
    <row r="1435" spans="4:4">
      <c r="D1435" s="31"/>
    </row>
    <row r="1436" spans="4:4">
      <c r="D1436" s="31"/>
    </row>
    <row r="1437" spans="4:4">
      <c r="D1437" s="31"/>
    </row>
    <row r="1438" spans="4:4">
      <c r="D1438" s="31"/>
    </row>
    <row r="1439" spans="4:4">
      <c r="D1439" s="31"/>
    </row>
    <row r="1440" spans="4:4">
      <c r="D1440" s="31"/>
    </row>
    <row r="1441" spans="4:4">
      <c r="D1441" s="31"/>
    </row>
    <row r="1442" spans="4:4">
      <c r="D1442" s="31"/>
    </row>
    <row r="1443" spans="4:4">
      <c r="D1443" s="31"/>
    </row>
    <row r="1444" spans="4:4">
      <c r="D1444" s="31"/>
    </row>
    <row r="1445" spans="4:4">
      <c r="D1445" s="31"/>
    </row>
    <row r="1446" spans="4:4">
      <c r="D1446" s="31"/>
    </row>
    <row r="1447" spans="4:4">
      <c r="D1447" s="31"/>
    </row>
    <row r="1448" spans="4:4">
      <c r="D1448" s="31"/>
    </row>
    <row r="1449" spans="4:4">
      <c r="D1449" s="31"/>
    </row>
    <row r="1450" spans="4:4">
      <c r="D1450" s="31"/>
    </row>
    <row r="1451" spans="4:4">
      <c r="D1451" s="31"/>
    </row>
    <row r="1452" spans="4:4">
      <c r="D1452" s="31"/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7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45.6640625" style="2" customWidth="1"/>
    <col min="2" max="2" width="14.83203125" style="2" customWidth="1"/>
    <col min="3" max="3" width="10.83203125" style="2"/>
    <col min="4" max="4" width="10.83203125" style="45"/>
    <col min="5" max="5" width="12.6640625" style="2" customWidth="1"/>
    <col min="6" max="6" width="16.83203125" style="2" customWidth="1"/>
    <col min="7" max="7" width="14.16406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41" t="s">
        <v>37</v>
      </c>
      <c r="B2" s="41" t="s">
        <v>38</v>
      </c>
      <c r="C2" s="42">
        <v>66.047499999999999</v>
      </c>
      <c r="D2" s="28">
        <f t="shared" ref="D2:D25" si="0">C2*1000</f>
        <v>66047.5</v>
      </c>
      <c r="E2" s="41" t="s">
        <v>26</v>
      </c>
      <c r="F2" s="46">
        <v>15.53</v>
      </c>
      <c r="G2" s="44">
        <v>0.06</v>
      </c>
      <c r="H2" s="101">
        <f>(F2-15.86125)/0.480428364</f>
        <v>-0.68948884958008161</v>
      </c>
      <c r="I2" s="3">
        <v>0.405887775507</v>
      </c>
      <c r="J2" s="88">
        <v>66000</v>
      </c>
      <c r="K2" s="3">
        <v>0.31222136577499998</v>
      </c>
      <c r="L2" s="88">
        <v>66000</v>
      </c>
      <c r="M2" s="3">
        <v>1.15521905337</v>
      </c>
      <c r="N2" s="88">
        <v>66000</v>
      </c>
      <c r="O2" s="3">
        <v>0.31222136577499998</v>
      </c>
      <c r="P2" s="88">
        <v>66050</v>
      </c>
    </row>
    <row r="3" spans="1:16">
      <c r="A3" s="41" t="s">
        <v>37</v>
      </c>
      <c r="B3" s="41" t="s">
        <v>38</v>
      </c>
      <c r="C3" s="42">
        <v>66.047499999999999</v>
      </c>
      <c r="D3" s="28">
        <f t="shared" si="0"/>
        <v>66047.5</v>
      </c>
      <c r="E3" s="41" t="s">
        <v>26</v>
      </c>
      <c r="F3" s="46">
        <v>16.64</v>
      </c>
      <c r="G3" s="44">
        <v>1.17</v>
      </c>
      <c r="H3" s="101">
        <f t="shared" ref="H3:H25" si="1">(F3-15.86125)/0.480428364</f>
        <v>1.6209492576920386</v>
      </c>
      <c r="I3" s="3">
        <v>0.62444273154899999</v>
      </c>
      <c r="J3" s="88">
        <v>66200</v>
      </c>
      <c r="K3" s="3">
        <v>1.30092235739</v>
      </c>
      <c r="L3" s="88">
        <v>66150</v>
      </c>
      <c r="M3" s="3">
        <v>0.36425826007000001</v>
      </c>
      <c r="N3" s="88">
        <v>66100</v>
      </c>
      <c r="O3" s="3">
        <v>0.327832434063</v>
      </c>
      <c r="P3" s="88">
        <v>66100</v>
      </c>
    </row>
    <row r="4" spans="1:16">
      <c r="A4" s="41" t="s">
        <v>37</v>
      </c>
      <c r="B4" s="41" t="s">
        <v>38</v>
      </c>
      <c r="C4" s="42">
        <v>66.052099999999996</v>
      </c>
      <c r="D4" s="28">
        <f t="shared" si="0"/>
        <v>66052.099999999991</v>
      </c>
      <c r="E4" s="41" t="s">
        <v>26</v>
      </c>
      <c r="F4" s="46">
        <v>15.08</v>
      </c>
      <c r="G4" s="44">
        <v>-0.38</v>
      </c>
      <c r="H4" s="101">
        <f t="shared" si="1"/>
        <v>-1.6261529471228306</v>
      </c>
      <c r="I4" s="3">
        <v>0.70770176242299998</v>
      </c>
      <c r="J4" s="88">
        <v>66400</v>
      </c>
      <c r="K4" s="3">
        <v>0.104073788592</v>
      </c>
      <c r="L4" s="88">
        <v>66300</v>
      </c>
      <c r="M4" s="3">
        <v>0.67127593641600003</v>
      </c>
      <c r="N4" s="88">
        <v>66200</v>
      </c>
      <c r="O4" s="3">
        <v>0</v>
      </c>
      <c r="P4" s="88">
        <v>66150</v>
      </c>
    </row>
    <row r="5" spans="1:16">
      <c r="A5" s="41" t="s">
        <v>37</v>
      </c>
      <c r="B5" s="41" t="s">
        <v>38</v>
      </c>
      <c r="C5" s="42">
        <v>66.054900000000004</v>
      </c>
      <c r="D5" s="28">
        <f t="shared" si="0"/>
        <v>66054.900000000009</v>
      </c>
      <c r="E5" s="41" t="s">
        <v>26</v>
      </c>
      <c r="F5" s="46">
        <v>15.73</v>
      </c>
      <c r="G5" s="44">
        <v>0.27</v>
      </c>
      <c r="H5" s="101">
        <f t="shared" si="1"/>
        <v>-0.27319369511663477</v>
      </c>
      <c r="K5" s="3">
        <v>1.1031821590699999</v>
      </c>
      <c r="L5" s="88">
        <v>66450</v>
      </c>
      <c r="M5" s="3">
        <v>1.1031821590699999</v>
      </c>
      <c r="N5" s="88">
        <v>66400</v>
      </c>
      <c r="O5">
        <v>0.89503458188700002</v>
      </c>
      <c r="P5">
        <v>66200</v>
      </c>
    </row>
    <row r="6" spans="1:16">
      <c r="A6" s="41" t="s">
        <v>37</v>
      </c>
      <c r="B6" s="41" t="s">
        <v>38</v>
      </c>
      <c r="C6" s="42">
        <v>66.058199999999999</v>
      </c>
      <c r="D6" s="28">
        <f t="shared" si="0"/>
        <v>66058.2</v>
      </c>
      <c r="E6" s="41" t="s">
        <v>26</v>
      </c>
      <c r="F6" s="46">
        <v>15.46</v>
      </c>
      <c r="G6" s="44">
        <v>0</v>
      </c>
      <c r="H6" s="101">
        <f t="shared" si="1"/>
        <v>-0.83519215364228416</v>
      </c>
    </row>
    <row r="7" spans="1:16">
      <c r="A7" s="41" t="s">
        <v>37</v>
      </c>
      <c r="B7" s="41" t="s">
        <v>38</v>
      </c>
      <c r="C7" s="42">
        <v>66.061499999999995</v>
      </c>
      <c r="D7" s="28">
        <f t="shared" si="0"/>
        <v>66061.5</v>
      </c>
      <c r="E7" s="41" t="s">
        <v>26</v>
      </c>
      <c r="F7" s="46">
        <v>15.55</v>
      </c>
      <c r="G7" s="44">
        <v>0.09</v>
      </c>
      <c r="H7" s="101">
        <f t="shared" si="1"/>
        <v>-0.64785933413373442</v>
      </c>
    </row>
    <row r="8" spans="1:16">
      <c r="A8" s="41" t="s">
        <v>37</v>
      </c>
      <c r="B8" s="41" t="s">
        <v>38</v>
      </c>
      <c r="C8" s="42">
        <v>66.0642</v>
      </c>
      <c r="D8" s="28">
        <f t="shared" si="0"/>
        <v>66064.2</v>
      </c>
      <c r="E8" s="41" t="s">
        <v>26</v>
      </c>
      <c r="F8" s="46">
        <v>15.56</v>
      </c>
      <c r="G8" s="44">
        <v>0.09</v>
      </c>
      <c r="H8" s="101">
        <f t="shared" si="1"/>
        <v>-0.62704457641056255</v>
      </c>
    </row>
    <row r="9" spans="1:16">
      <c r="A9" s="41" t="s">
        <v>37</v>
      </c>
      <c r="B9" s="41" t="s">
        <v>38</v>
      </c>
      <c r="C9" s="42">
        <v>66.078199999999995</v>
      </c>
      <c r="D9" s="28">
        <f t="shared" si="0"/>
        <v>66078.2</v>
      </c>
      <c r="E9" s="41" t="s">
        <v>26</v>
      </c>
      <c r="F9" s="46">
        <v>15.91</v>
      </c>
      <c r="G9" s="44">
        <v>0.45</v>
      </c>
      <c r="H9" s="101">
        <f t="shared" si="1"/>
        <v>0.10147194390046478</v>
      </c>
    </row>
    <row r="10" spans="1:16">
      <c r="A10" s="41" t="s">
        <v>37</v>
      </c>
      <c r="B10" s="41" t="s">
        <v>38</v>
      </c>
      <c r="C10" s="42">
        <v>66.098299999999995</v>
      </c>
      <c r="D10" s="28">
        <f t="shared" si="0"/>
        <v>66098.299999999988</v>
      </c>
      <c r="E10" s="41" t="s">
        <v>26</v>
      </c>
      <c r="F10" s="46">
        <v>15.73</v>
      </c>
      <c r="G10" s="44">
        <v>0.27</v>
      </c>
      <c r="H10" s="101">
        <f t="shared" si="1"/>
        <v>-0.27319369511663477</v>
      </c>
    </row>
    <row r="11" spans="1:16">
      <c r="A11" s="41" t="s">
        <v>37</v>
      </c>
      <c r="B11" s="41" t="s">
        <v>38</v>
      </c>
      <c r="C11" s="42">
        <v>66.098299999999995</v>
      </c>
      <c r="D11" s="28">
        <f t="shared" si="0"/>
        <v>66098.299999999988</v>
      </c>
      <c r="E11" s="41" t="s">
        <v>26</v>
      </c>
      <c r="F11" s="46">
        <v>15.73</v>
      </c>
      <c r="G11" s="44">
        <v>0.27</v>
      </c>
      <c r="H11" s="101">
        <f t="shared" si="1"/>
        <v>-0.27319369511663477</v>
      </c>
    </row>
    <row r="12" spans="1:16">
      <c r="A12" s="41" t="s">
        <v>37</v>
      </c>
      <c r="B12" s="41" t="s">
        <v>38</v>
      </c>
      <c r="C12" s="42">
        <v>66.113299999999995</v>
      </c>
      <c r="D12" s="28">
        <f t="shared" si="0"/>
        <v>66113.299999999988</v>
      </c>
      <c r="E12" s="41" t="s">
        <v>26</v>
      </c>
      <c r="F12" s="46">
        <v>16.489999999999998</v>
      </c>
      <c r="G12" s="44">
        <v>1.03</v>
      </c>
      <c r="H12" s="101">
        <f t="shared" si="1"/>
        <v>1.3087278918444507</v>
      </c>
    </row>
    <row r="13" spans="1:16">
      <c r="A13" s="41" t="s">
        <v>37</v>
      </c>
      <c r="B13" s="41" t="s">
        <v>38</v>
      </c>
      <c r="C13" s="42">
        <v>66.121600000000001</v>
      </c>
      <c r="D13" s="28">
        <f t="shared" si="0"/>
        <v>66121.600000000006</v>
      </c>
      <c r="E13" s="41" t="s">
        <v>26</v>
      </c>
      <c r="F13" s="46">
        <v>15.7</v>
      </c>
      <c r="G13" s="44">
        <v>0.23</v>
      </c>
      <c r="H13" s="101">
        <f t="shared" si="1"/>
        <v>-0.33563796828615389</v>
      </c>
    </row>
    <row r="14" spans="1:16">
      <c r="A14" s="41" t="s">
        <v>37</v>
      </c>
      <c r="B14" s="41" t="s">
        <v>38</v>
      </c>
      <c r="C14" s="42">
        <v>66.121600000000001</v>
      </c>
      <c r="D14" s="28">
        <f t="shared" si="0"/>
        <v>66121.600000000006</v>
      </c>
      <c r="E14" s="41" t="s">
        <v>26</v>
      </c>
      <c r="F14" s="46">
        <v>15.7</v>
      </c>
      <c r="G14" s="44">
        <v>0.23</v>
      </c>
      <c r="H14" s="101">
        <f t="shared" si="1"/>
        <v>-0.33563796828615389</v>
      </c>
    </row>
    <row r="15" spans="1:16">
      <c r="A15" s="41" t="s">
        <v>37</v>
      </c>
      <c r="B15" s="41" t="s">
        <v>38</v>
      </c>
      <c r="C15" s="42">
        <v>66.168199999999999</v>
      </c>
      <c r="D15" s="28">
        <f t="shared" si="0"/>
        <v>66168.2</v>
      </c>
      <c r="E15" s="41" t="s">
        <v>26</v>
      </c>
      <c r="F15" s="46">
        <v>16.309999999999999</v>
      </c>
      <c r="G15" s="44">
        <v>0.84</v>
      </c>
      <c r="H15" s="101">
        <f t="shared" si="1"/>
        <v>0.93406225282735111</v>
      </c>
    </row>
    <row r="16" spans="1:16">
      <c r="A16" s="41" t="s">
        <v>37</v>
      </c>
      <c r="B16" s="41" t="s">
        <v>38</v>
      </c>
      <c r="C16" s="42">
        <v>66.168199999999999</v>
      </c>
      <c r="D16" s="28">
        <f t="shared" si="0"/>
        <v>66168.2</v>
      </c>
      <c r="E16" s="41" t="s">
        <v>26</v>
      </c>
      <c r="F16" s="46">
        <v>16.309999999999999</v>
      </c>
      <c r="G16" s="44">
        <v>0.84</v>
      </c>
      <c r="H16" s="101">
        <f t="shared" si="1"/>
        <v>0.93406225282735111</v>
      </c>
    </row>
    <row r="17" spans="1:8">
      <c r="A17" s="41" t="s">
        <v>37</v>
      </c>
      <c r="B17" s="41" t="s">
        <v>38</v>
      </c>
      <c r="C17" s="42">
        <v>66.191599999999994</v>
      </c>
      <c r="D17" s="28">
        <f t="shared" si="0"/>
        <v>66191.599999999991</v>
      </c>
      <c r="E17" s="41" t="s">
        <v>26</v>
      </c>
      <c r="F17" s="46">
        <v>16.190000000000001</v>
      </c>
      <c r="G17" s="44">
        <v>0.73</v>
      </c>
      <c r="H17" s="101">
        <f t="shared" si="1"/>
        <v>0.68428516014928964</v>
      </c>
    </row>
    <row r="18" spans="1:8">
      <c r="A18" s="41" t="s">
        <v>37</v>
      </c>
      <c r="B18" s="41" t="s">
        <v>38</v>
      </c>
      <c r="C18" s="42">
        <v>66.191599999999994</v>
      </c>
      <c r="D18" s="28">
        <f t="shared" si="0"/>
        <v>66191.599999999991</v>
      </c>
      <c r="E18" s="41" t="s">
        <v>26</v>
      </c>
      <c r="F18" s="46">
        <v>16.190000000000001</v>
      </c>
      <c r="G18" s="44">
        <v>0.73</v>
      </c>
      <c r="H18" s="101">
        <f t="shared" si="1"/>
        <v>0.68428516014928964</v>
      </c>
    </row>
    <row r="19" spans="1:8">
      <c r="A19" s="41" t="s">
        <v>37</v>
      </c>
      <c r="B19" s="41" t="s">
        <v>38</v>
      </c>
      <c r="C19" s="42">
        <v>66.2149</v>
      </c>
      <c r="D19" s="28">
        <f t="shared" si="0"/>
        <v>66214.899999999994</v>
      </c>
      <c r="E19" s="41" t="s">
        <v>26</v>
      </c>
      <c r="F19" s="46">
        <v>16.62</v>
      </c>
      <c r="G19" s="44">
        <v>1.1499999999999999</v>
      </c>
      <c r="H19" s="101">
        <f t="shared" si="1"/>
        <v>1.579319742245695</v>
      </c>
    </row>
    <row r="20" spans="1:8">
      <c r="A20" s="41" t="s">
        <v>37</v>
      </c>
      <c r="B20" s="41" t="s">
        <v>38</v>
      </c>
      <c r="C20" s="42">
        <v>66.2149</v>
      </c>
      <c r="D20" s="28">
        <f t="shared" si="0"/>
        <v>66214.899999999994</v>
      </c>
      <c r="E20" s="41" t="s">
        <v>26</v>
      </c>
      <c r="F20" s="46">
        <v>16.62</v>
      </c>
      <c r="G20" s="44">
        <v>1.1499999999999999</v>
      </c>
      <c r="H20" s="101">
        <f t="shared" si="1"/>
        <v>1.579319742245695</v>
      </c>
    </row>
    <row r="21" spans="1:8">
      <c r="A21" s="41" t="s">
        <v>37</v>
      </c>
      <c r="B21" s="41" t="s">
        <v>38</v>
      </c>
      <c r="C21" s="42">
        <v>66.308099999999996</v>
      </c>
      <c r="D21" s="28">
        <f t="shared" si="0"/>
        <v>66308.099999999991</v>
      </c>
      <c r="E21" s="41" t="s">
        <v>26</v>
      </c>
      <c r="F21" s="46">
        <v>15.7</v>
      </c>
      <c r="G21" s="44">
        <v>0.23</v>
      </c>
      <c r="H21" s="101">
        <f t="shared" si="1"/>
        <v>-0.33563796828615389</v>
      </c>
    </row>
    <row r="22" spans="1:8">
      <c r="A22" s="41" t="s">
        <v>37</v>
      </c>
      <c r="B22" s="41" t="s">
        <v>38</v>
      </c>
      <c r="C22" s="42">
        <v>66.354799999999997</v>
      </c>
      <c r="D22" s="28">
        <f t="shared" si="0"/>
        <v>66354.8</v>
      </c>
      <c r="E22" s="41" t="s">
        <v>26</v>
      </c>
      <c r="F22" s="46">
        <v>15.6</v>
      </c>
      <c r="G22" s="44">
        <v>0.14000000000000001</v>
      </c>
      <c r="H22" s="101">
        <f t="shared" si="1"/>
        <v>-0.54378554551787539</v>
      </c>
    </row>
    <row r="23" spans="1:8">
      <c r="A23" s="41" t="s">
        <v>37</v>
      </c>
      <c r="B23" s="41" t="s">
        <v>38</v>
      </c>
      <c r="C23" s="42">
        <v>66.401399999999995</v>
      </c>
      <c r="D23" s="28">
        <f t="shared" si="0"/>
        <v>66401.399999999994</v>
      </c>
      <c r="E23" s="41" t="s">
        <v>26</v>
      </c>
      <c r="F23" s="46">
        <v>16.14</v>
      </c>
      <c r="G23" s="44">
        <v>0.67</v>
      </c>
      <c r="H23" s="101">
        <f t="shared" si="1"/>
        <v>0.58021137153342695</v>
      </c>
    </row>
    <row r="24" spans="1:8">
      <c r="A24" s="41" t="s">
        <v>37</v>
      </c>
      <c r="B24" s="41" t="s">
        <v>38</v>
      </c>
      <c r="C24" s="42">
        <v>66.447999999999993</v>
      </c>
      <c r="D24" s="28">
        <f t="shared" si="0"/>
        <v>66448</v>
      </c>
      <c r="E24" s="41" t="s">
        <v>26</v>
      </c>
      <c r="F24" s="46">
        <v>15.08</v>
      </c>
      <c r="G24" s="44">
        <v>-0.38</v>
      </c>
      <c r="H24" s="101">
        <f t="shared" si="1"/>
        <v>-1.6261529471228306</v>
      </c>
    </row>
    <row r="25" spans="1:8">
      <c r="A25" s="41" t="s">
        <v>37</v>
      </c>
      <c r="B25" s="41" t="s">
        <v>38</v>
      </c>
      <c r="C25" s="42">
        <v>66.558000000000007</v>
      </c>
      <c r="D25" s="28">
        <f t="shared" si="0"/>
        <v>66558</v>
      </c>
      <c r="E25" s="41" t="s">
        <v>26</v>
      </c>
      <c r="F25" s="46">
        <v>15.1</v>
      </c>
      <c r="G25" s="44">
        <v>-0.36</v>
      </c>
      <c r="H25" s="101">
        <f t="shared" si="1"/>
        <v>-1.5845234316764869</v>
      </c>
    </row>
    <row r="26" spans="1:8">
      <c r="F26" s="1">
        <f>AVERAGE(F2:F25)</f>
        <v>15.86125</v>
      </c>
    </row>
    <row r="27" spans="1:8">
      <c r="F27" s="1">
        <f>STDEV(F2:F25)</f>
        <v>0.48042836411215184</v>
      </c>
    </row>
  </sheetData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15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0" style="2" customWidth="1"/>
    <col min="2" max="2" width="10.3320312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39</v>
      </c>
      <c r="B2" s="1" t="s">
        <v>40</v>
      </c>
      <c r="C2" s="32">
        <v>65.253945945945944</v>
      </c>
      <c r="D2" s="28">
        <f t="shared" ref="D2:D10" si="0">C2*1000</f>
        <v>65253.945945945947</v>
      </c>
      <c r="E2" s="1" t="s">
        <v>26</v>
      </c>
      <c r="F2" s="29">
        <v>11.394875000000003</v>
      </c>
      <c r="G2" s="30">
        <v>-4.4452999999998966E-2</v>
      </c>
      <c r="H2" s="101">
        <f>(F2-10.76010867)/1.132758944</f>
        <v>0.56037194264696377</v>
      </c>
      <c r="I2" s="3">
        <v>0.17566447033300001</v>
      </c>
      <c r="J2" s="88">
        <v>65800</v>
      </c>
      <c r="K2" s="3">
        <v>0.54805967590600002</v>
      </c>
      <c r="L2" s="88">
        <v>66000</v>
      </c>
      <c r="M2" s="3">
        <v>0.313627185842</v>
      </c>
      <c r="N2" s="88">
        <v>66000</v>
      </c>
      <c r="O2" s="3">
        <v>9.79356645464E-2</v>
      </c>
      <c r="P2" s="88">
        <v>66000</v>
      </c>
    </row>
    <row r="3" spans="1:16">
      <c r="A3" s="1" t="s">
        <v>39</v>
      </c>
      <c r="B3" s="1" t="s">
        <v>40</v>
      </c>
      <c r="C3" s="32">
        <v>65.731999999999999</v>
      </c>
      <c r="D3" s="28">
        <f t="shared" si="0"/>
        <v>65732</v>
      </c>
      <c r="E3" s="1" t="s">
        <v>26</v>
      </c>
      <c r="F3" s="29">
        <v>9.4890720000000019</v>
      </c>
      <c r="G3" s="30">
        <v>-1.9502559999999995</v>
      </c>
      <c r="H3" s="101">
        <f t="shared" ref="H3:H10" si="1">(F3-10.76010867)/1.132758944</f>
        <v>-1.122071625858641</v>
      </c>
      <c r="I3" s="3">
        <v>0.62632213450899998</v>
      </c>
      <c r="J3" s="88">
        <v>66000</v>
      </c>
      <c r="K3" s="3">
        <v>1.2567122130599999</v>
      </c>
      <c r="L3" s="88">
        <v>66150</v>
      </c>
      <c r="M3" s="3">
        <v>1.2567122130599999</v>
      </c>
      <c r="N3" s="88">
        <v>66100</v>
      </c>
      <c r="O3" s="3"/>
      <c r="P3" s="88"/>
    </row>
    <row r="4" spans="1:16">
      <c r="A4" s="1" t="s">
        <v>39</v>
      </c>
      <c r="B4" s="1" t="s">
        <v>40</v>
      </c>
      <c r="C4" s="32">
        <v>65.820000000000007</v>
      </c>
      <c r="D4" s="28">
        <f t="shared" si="0"/>
        <v>65820.000000000015</v>
      </c>
      <c r="E4" s="1" t="s">
        <v>26</v>
      </c>
      <c r="F4" s="29">
        <v>9.8870430000000038</v>
      </c>
      <c r="G4" s="30">
        <v>-1.5522849999999977</v>
      </c>
      <c r="H4" s="101">
        <f t="shared" si="1"/>
        <v>-0.77074268503855259</v>
      </c>
      <c r="K4" s="3"/>
      <c r="L4" s="88"/>
      <c r="M4" s="3"/>
      <c r="N4" s="88"/>
      <c r="O4" s="3"/>
      <c r="P4" s="88"/>
    </row>
    <row r="5" spans="1:16">
      <c r="A5" s="1" t="s">
        <v>39</v>
      </c>
      <c r="B5" s="1" t="s">
        <v>40</v>
      </c>
      <c r="C5" s="32">
        <v>65.947600000000008</v>
      </c>
      <c r="D5" s="28">
        <f t="shared" si="0"/>
        <v>65947.600000000006</v>
      </c>
      <c r="E5" s="1" t="s">
        <v>26</v>
      </c>
      <c r="F5" s="29">
        <v>9.6216750000000033</v>
      </c>
      <c r="G5" s="30">
        <v>-1.8176529999999982</v>
      </c>
      <c r="H5" s="101">
        <f t="shared" si="1"/>
        <v>-1.0050096501378813</v>
      </c>
      <c r="K5" s="3"/>
      <c r="L5" s="88"/>
      <c r="M5" s="3"/>
      <c r="N5" s="88"/>
    </row>
    <row r="6" spans="1:16">
      <c r="A6" s="1" t="s">
        <v>39</v>
      </c>
      <c r="B6" s="1" t="s">
        <v>40</v>
      </c>
      <c r="C6" s="32">
        <v>65.987200000000016</v>
      </c>
      <c r="D6" s="28">
        <f t="shared" si="0"/>
        <v>65987.200000000012</v>
      </c>
      <c r="E6" s="1" t="s">
        <v>26</v>
      </c>
      <c r="F6" s="29">
        <v>10.728800000000001</v>
      </c>
      <c r="G6" s="30">
        <v>-0.71052800000000005</v>
      </c>
      <c r="H6" s="101">
        <f t="shared" si="1"/>
        <v>-2.76393050488223E-2</v>
      </c>
    </row>
    <row r="7" spans="1:16">
      <c r="A7" s="1" t="s">
        <v>39</v>
      </c>
      <c r="B7" s="1" t="s">
        <v>40</v>
      </c>
      <c r="C7" s="32">
        <v>66.022400000000005</v>
      </c>
      <c r="D7" s="28">
        <f t="shared" si="0"/>
        <v>66022.400000000009</v>
      </c>
      <c r="E7" s="1" t="s">
        <v>26</v>
      </c>
      <c r="F7" s="29">
        <v>10.950675000000002</v>
      </c>
      <c r="G7" s="30">
        <v>-0.48865299999999934</v>
      </c>
      <c r="H7" s="101">
        <f t="shared" si="1"/>
        <v>0.16823202412957763</v>
      </c>
    </row>
    <row r="8" spans="1:16">
      <c r="A8" s="1" t="s">
        <v>39</v>
      </c>
      <c r="B8" s="1" t="s">
        <v>40</v>
      </c>
      <c r="C8" s="32">
        <v>66.042137313432846</v>
      </c>
      <c r="D8" s="28">
        <f t="shared" si="0"/>
        <v>66042.137313432846</v>
      </c>
      <c r="E8" s="1" t="s">
        <v>26</v>
      </c>
      <c r="F8" s="29">
        <v>11.439328000000001</v>
      </c>
      <c r="G8" s="30">
        <v>0</v>
      </c>
      <c r="H8" s="101">
        <f t="shared" si="1"/>
        <v>0.59961506691047783</v>
      </c>
    </row>
    <row r="9" spans="1:16">
      <c r="A9" s="1" t="s">
        <v>39</v>
      </c>
      <c r="B9" s="1" t="s">
        <v>40</v>
      </c>
      <c r="C9" s="32">
        <v>66.08274626865672</v>
      </c>
      <c r="D9" s="28">
        <f t="shared" si="0"/>
        <v>66082.746268656716</v>
      </c>
      <c r="E9" s="1" t="s">
        <v>26</v>
      </c>
      <c r="F9" s="29">
        <v>10.241203000000002</v>
      </c>
      <c r="G9" s="30">
        <v>-1.1981249999999992</v>
      </c>
      <c r="H9" s="101">
        <f t="shared" si="1"/>
        <v>-0.45809011065287775</v>
      </c>
    </row>
    <row r="10" spans="1:16">
      <c r="A10" s="1" t="s">
        <v>39</v>
      </c>
      <c r="B10" s="1" t="s">
        <v>40</v>
      </c>
      <c r="C10" s="32">
        <v>66.125492537313434</v>
      </c>
      <c r="D10" s="28">
        <f t="shared" si="0"/>
        <v>66125.492537313432</v>
      </c>
      <c r="E10" s="1" t="s">
        <v>26</v>
      </c>
      <c r="F10" s="29">
        <v>13.088307000000002</v>
      </c>
      <c r="G10" s="30">
        <v>1.6489790000000006</v>
      </c>
      <c r="H10" s="101">
        <f t="shared" si="1"/>
        <v>2.0553343165657694</v>
      </c>
    </row>
    <row r="11" spans="1:16">
      <c r="D11" s="31"/>
      <c r="F11" s="47">
        <f>AVERAGE(F2:F10)</f>
        <v>10.760108666666669</v>
      </c>
    </row>
    <row r="12" spans="1:16">
      <c r="D12" s="31"/>
      <c r="F12" s="48">
        <f>STDEV(F2:F10)</f>
        <v>1.1327589444953632</v>
      </c>
    </row>
    <row r="13" spans="1:16">
      <c r="D13" s="31"/>
    </row>
    <row r="14" spans="1:16">
      <c r="D14" s="31"/>
    </row>
    <row r="15" spans="1:16">
      <c r="D15" s="31"/>
    </row>
    <row r="16" spans="1:16">
      <c r="D16" s="31"/>
    </row>
    <row r="17" spans="4:4">
      <c r="D17" s="31"/>
    </row>
    <row r="18" spans="4:4">
      <c r="D18" s="31"/>
    </row>
    <row r="19" spans="4:4">
      <c r="D19" s="31"/>
    </row>
    <row r="20" spans="4:4">
      <c r="D20" s="31"/>
    </row>
    <row r="21" spans="4:4">
      <c r="D21" s="31"/>
    </row>
    <row r="22" spans="4:4">
      <c r="D22" s="31"/>
    </row>
    <row r="23" spans="4:4">
      <c r="D23" s="31"/>
    </row>
    <row r="24" spans="4:4">
      <c r="D24" s="31"/>
    </row>
    <row r="25" spans="4:4">
      <c r="D25" s="31"/>
    </row>
    <row r="26" spans="4:4">
      <c r="D26" s="31"/>
    </row>
    <row r="27" spans="4:4">
      <c r="D27" s="31"/>
    </row>
    <row r="28" spans="4:4">
      <c r="D28" s="31"/>
    </row>
    <row r="29" spans="4:4">
      <c r="D29" s="31"/>
    </row>
    <row r="30" spans="4:4">
      <c r="D30" s="31"/>
    </row>
    <row r="31" spans="4:4">
      <c r="D31" s="31"/>
    </row>
    <row r="32" spans="4:4">
      <c r="D32" s="31"/>
    </row>
    <row r="33" spans="4:4">
      <c r="D33" s="31"/>
    </row>
    <row r="34" spans="4:4">
      <c r="D34" s="31"/>
    </row>
    <row r="35" spans="4:4">
      <c r="D35" s="31"/>
    </row>
    <row r="36" spans="4:4">
      <c r="D36" s="31"/>
    </row>
    <row r="37" spans="4:4">
      <c r="D37" s="31"/>
    </row>
    <row r="38" spans="4:4">
      <c r="D38" s="31"/>
    </row>
    <row r="39" spans="4:4">
      <c r="D39" s="31"/>
    </row>
    <row r="40" spans="4:4">
      <c r="D40" s="31"/>
    </row>
    <row r="41" spans="4:4">
      <c r="D41" s="31"/>
    </row>
    <row r="42" spans="4:4">
      <c r="D42" s="31"/>
    </row>
    <row r="43" spans="4:4">
      <c r="D43" s="31"/>
    </row>
    <row r="44" spans="4:4">
      <c r="D44" s="31"/>
    </row>
    <row r="45" spans="4:4">
      <c r="D45" s="31"/>
    </row>
    <row r="46" spans="4:4">
      <c r="D46" s="31"/>
    </row>
    <row r="47" spans="4:4">
      <c r="D47" s="31"/>
    </row>
    <row r="48" spans="4:4">
      <c r="D48" s="31"/>
    </row>
    <row r="49" spans="4:4">
      <c r="D49" s="31"/>
    </row>
    <row r="50" spans="4:4">
      <c r="D50" s="31"/>
    </row>
    <row r="51" spans="4:4">
      <c r="D51" s="31"/>
    </row>
    <row r="52" spans="4:4">
      <c r="D52" s="31"/>
    </row>
    <row r="53" spans="4:4">
      <c r="D53" s="31"/>
    </row>
    <row r="54" spans="4:4">
      <c r="D54" s="31"/>
    </row>
    <row r="55" spans="4:4">
      <c r="D55" s="31"/>
    </row>
    <row r="56" spans="4:4">
      <c r="D56" s="31"/>
    </row>
    <row r="57" spans="4:4">
      <c r="D57" s="31"/>
    </row>
    <row r="58" spans="4:4">
      <c r="D58" s="31"/>
    </row>
    <row r="59" spans="4:4">
      <c r="D59" s="31"/>
    </row>
    <row r="60" spans="4:4">
      <c r="D60" s="31"/>
    </row>
    <row r="61" spans="4:4">
      <c r="D61" s="31"/>
    </row>
    <row r="62" spans="4:4">
      <c r="D62" s="31"/>
    </row>
    <row r="63" spans="4:4">
      <c r="D63" s="31"/>
    </row>
    <row r="64" spans="4:4">
      <c r="D64" s="31"/>
    </row>
    <row r="65" spans="4:4">
      <c r="D65" s="31"/>
    </row>
    <row r="66" spans="4:4">
      <c r="D66" s="31"/>
    </row>
    <row r="67" spans="4:4">
      <c r="D67" s="31"/>
    </row>
    <row r="68" spans="4:4">
      <c r="D68" s="31"/>
    </row>
    <row r="69" spans="4:4">
      <c r="D69" s="31"/>
    </row>
    <row r="70" spans="4:4">
      <c r="D70" s="31"/>
    </row>
    <row r="71" spans="4:4">
      <c r="D71" s="31"/>
    </row>
    <row r="72" spans="4:4">
      <c r="D72" s="31"/>
    </row>
    <row r="73" spans="4:4">
      <c r="D73" s="31"/>
    </row>
    <row r="74" spans="4:4">
      <c r="D74" s="31"/>
    </row>
    <row r="75" spans="4:4">
      <c r="D75" s="31"/>
    </row>
    <row r="76" spans="4:4">
      <c r="D76" s="31"/>
    </row>
    <row r="77" spans="4:4">
      <c r="D77" s="31"/>
    </row>
    <row r="78" spans="4:4">
      <c r="D78" s="31"/>
    </row>
    <row r="79" spans="4:4">
      <c r="D79" s="31"/>
    </row>
    <row r="80" spans="4:4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1"/>
    </row>
    <row r="88" spans="4:4">
      <c r="D88" s="31"/>
    </row>
    <row r="89" spans="4:4">
      <c r="D89" s="31"/>
    </row>
    <row r="90" spans="4:4">
      <c r="D90" s="31"/>
    </row>
    <row r="91" spans="4:4">
      <c r="D91" s="31"/>
    </row>
    <row r="92" spans="4:4">
      <c r="D92" s="31"/>
    </row>
    <row r="93" spans="4:4">
      <c r="D93" s="31"/>
    </row>
    <row r="94" spans="4:4">
      <c r="D94" s="31"/>
    </row>
    <row r="95" spans="4:4">
      <c r="D95" s="31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3"/>
    </row>
    <row r="230" spans="4:4">
      <c r="D230" s="33"/>
    </row>
    <row r="231" spans="4:4">
      <c r="D231" s="33"/>
    </row>
    <row r="232" spans="4:4">
      <c r="D232" s="33"/>
    </row>
    <row r="233" spans="4:4">
      <c r="D233" s="33"/>
    </row>
    <row r="234" spans="4:4">
      <c r="D234" s="33"/>
    </row>
    <row r="235" spans="4:4">
      <c r="D235" s="33"/>
    </row>
    <row r="236" spans="4:4">
      <c r="D236" s="33"/>
    </row>
    <row r="237" spans="4:4">
      <c r="D237" s="33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1"/>
    </row>
    <row r="245" spans="4:4">
      <c r="D245" s="31"/>
    </row>
    <row r="246" spans="4:4">
      <c r="D246" s="31"/>
    </row>
    <row r="247" spans="4:4">
      <c r="D247" s="31"/>
    </row>
    <row r="248" spans="4:4">
      <c r="D248" s="31"/>
    </row>
    <row r="249" spans="4:4">
      <c r="D249" s="31"/>
    </row>
    <row r="250" spans="4:4">
      <c r="D250" s="31"/>
    </row>
    <row r="251" spans="4:4">
      <c r="D251" s="31"/>
    </row>
    <row r="252" spans="4:4">
      <c r="D252" s="31"/>
    </row>
    <row r="253" spans="4:4">
      <c r="D253" s="31"/>
    </row>
    <row r="254" spans="4:4">
      <c r="D254" s="31"/>
    </row>
    <row r="255" spans="4:4">
      <c r="D255" s="31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3"/>
    </row>
    <row r="317" spans="4:4">
      <c r="D317" s="33"/>
    </row>
    <row r="318" spans="4:4">
      <c r="D318" s="33"/>
    </row>
    <row r="319" spans="4:4">
      <c r="D319" s="33"/>
    </row>
    <row r="320" spans="4:4">
      <c r="D320" s="33"/>
    </row>
    <row r="321" spans="4:4">
      <c r="D321" s="33"/>
    </row>
    <row r="322" spans="4:4">
      <c r="D322" s="33"/>
    </row>
    <row r="323" spans="4:4">
      <c r="D323" s="33"/>
    </row>
    <row r="324" spans="4:4">
      <c r="D324" s="33"/>
    </row>
    <row r="325" spans="4:4">
      <c r="D325" s="33"/>
    </row>
    <row r="326" spans="4:4">
      <c r="D326" s="33"/>
    </row>
    <row r="327" spans="4:4">
      <c r="D327" s="33"/>
    </row>
    <row r="328" spans="4:4">
      <c r="D328" s="33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19" spans="4:4">
      <c r="D919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7" spans="4:4">
      <c r="D927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4" spans="4:4">
      <c r="D984" s="39"/>
    </row>
    <row r="985" spans="4:4">
      <c r="D985" s="39"/>
    </row>
    <row r="986" spans="4:4">
      <c r="D986" s="39"/>
    </row>
    <row r="987" spans="4:4">
      <c r="D987" s="39"/>
    </row>
    <row r="988" spans="4:4">
      <c r="D988" s="39"/>
    </row>
    <row r="989" spans="4:4">
      <c r="D989" s="39"/>
    </row>
    <row r="990" spans="4:4">
      <c r="D990" s="39"/>
    </row>
    <row r="991" spans="4:4">
      <c r="D991" s="39"/>
    </row>
    <row r="992" spans="4:4">
      <c r="D992" s="39"/>
    </row>
    <row r="993" spans="4:4">
      <c r="D993" s="39"/>
    </row>
    <row r="994" spans="4:4">
      <c r="D994" s="39"/>
    </row>
    <row r="995" spans="4:4">
      <c r="D995" s="39"/>
    </row>
    <row r="996" spans="4:4">
      <c r="D996" s="39"/>
    </row>
    <row r="997" spans="4:4">
      <c r="D997" s="39"/>
    </row>
    <row r="998" spans="4:4">
      <c r="D998" s="39"/>
    </row>
    <row r="999" spans="4:4">
      <c r="D999" s="39"/>
    </row>
    <row r="1000" spans="4:4">
      <c r="D1000" s="39"/>
    </row>
    <row r="1001" spans="4:4">
      <c r="D1001" s="39"/>
    </row>
    <row r="1002" spans="4:4">
      <c r="D1002" s="39"/>
    </row>
    <row r="1003" spans="4:4">
      <c r="D1003" s="39"/>
    </row>
    <row r="1004" spans="4:4">
      <c r="D1004" s="39"/>
    </row>
    <row r="1005" spans="4:4">
      <c r="D1005" s="39"/>
    </row>
    <row r="1006" spans="4:4">
      <c r="D1006" s="39"/>
    </row>
    <row r="1007" spans="4:4">
      <c r="D1007" s="39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40" spans="4:4">
      <c r="D1340" s="31"/>
    </row>
    <row r="1341" spans="4:4">
      <c r="D1341" s="31"/>
    </row>
    <row r="1342" spans="4:4">
      <c r="D1342" s="31"/>
    </row>
    <row r="1343" spans="4:4">
      <c r="D1343" s="31"/>
    </row>
    <row r="1344" spans="4:4">
      <c r="D1344" s="31"/>
    </row>
    <row r="1345" spans="4:4">
      <c r="D1345" s="31"/>
    </row>
    <row r="1346" spans="4:4">
      <c r="D1346" s="31"/>
    </row>
    <row r="1347" spans="4:4">
      <c r="D1347" s="31"/>
    </row>
    <row r="1348" spans="4:4">
      <c r="D1348" s="31"/>
    </row>
    <row r="1349" spans="4:4">
      <c r="D1349" s="31"/>
    </row>
    <row r="1350" spans="4:4">
      <c r="D1350" s="31"/>
    </row>
    <row r="1351" spans="4:4">
      <c r="D1351" s="31"/>
    </row>
    <row r="1352" spans="4:4">
      <c r="D1352" s="31"/>
    </row>
    <row r="1353" spans="4:4">
      <c r="D1353" s="31"/>
    </row>
    <row r="1354" spans="4:4">
      <c r="D1354" s="31"/>
    </row>
    <row r="1355" spans="4:4">
      <c r="D1355" s="31"/>
    </row>
    <row r="1356" spans="4:4">
      <c r="D1356" s="31"/>
    </row>
    <row r="1357" spans="4:4">
      <c r="D1357" s="31"/>
    </row>
    <row r="1358" spans="4:4">
      <c r="D1358" s="31"/>
    </row>
    <row r="1359" spans="4:4">
      <c r="D1359" s="31"/>
    </row>
    <row r="1360" spans="4:4">
      <c r="D1360" s="31"/>
    </row>
    <row r="1361" spans="4:4">
      <c r="D1361" s="31"/>
    </row>
    <row r="1362" spans="4:4">
      <c r="D1362" s="31"/>
    </row>
    <row r="1363" spans="4:4">
      <c r="D1363" s="31"/>
    </row>
    <row r="1364" spans="4:4">
      <c r="D1364" s="31"/>
    </row>
    <row r="1365" spans="4:4">
      <c r="D1365" s="31"/>
    </row>
    <row r="1366" spans="4:4">
      <c r="D1366" s="31"/>
    </row>
    <row r="1367" spans="4:4">
      <c r="D1367" s="31"/>
    </row>
    <row r="1368" spans="4:4">
      <c r="D1368" s="31"/>
    </row>
    <row r="1369" spans="4:4">
      <c r="D1369" s="31"/>
    </row>
    <row r="1370" spans="4:4">
      <c r="D1370" s="31"/>
    </row>
    <row r="1371" spans="4:4">
      <c r="D1371" s="31"/>
    </row>
    <row r="1372" spans="4:4">
      <c r="D1372" s="31"/>
    </row>
    <row r="1373" spans="4:4">
      <c r="D1373" s="31"/>
    </row>
    <row r="1374" spans="4:4">
      <c r="D1374" s="31"/>
    </row>
    <row r="1375" spans="4:4">
      <c r="D1375" s="31"/>
    </row>
    <row r="1376" spans="4:4">
      <c r="D1376" s="31"/>
    </row>
    <row r="1377" spans="4:4">
      <c r="D1377" s="31"/>
    </row>
    <row r="1378" spans="4:4">
      <c r="D1378" s="31"/>
    </row>
    <row r="1379" spans="4:4">
      <c r="D1379" s="31"/>
    </row>
    <row r="1380" spans="4:4">
      <c r="D1380" s="31"/>
    </row>
    <row r="1381" spans="4:4">
      <c r="D1381" s="31"/>
    </row>
    <row r="1382" spans="4:4">
      <c r="D1382" s="31"/>
    </row>
    <row r="1383" spans="4:4">
      <c r="D1383" s="31"/>
    </row>
    <row r="1384" spans="4:4">
      <c r="D1384" s="31"/>
    </row>
    <row r="1385" spans="4:4">
      <c r="D1385" s="31"/>
    </row>
    <row r="1386" spans="4:4">
      <c r="D1386" s="31"/>
    </row>
    <row r="1387" spans="4:4">
      <c r="D1387" s="31"/>
    </row>
    <row r="1388" spans="4:4">
      <c r="D1388" s="31"/>
    </row>
    <row r="1389" spans="4:4">
      <c r="D1389" s="31"/>
    </row>
    <row r="1390" spans="4:4">
      <c r="D1390" s="31"/>
    </row>
    <row r="1391" spans="4:4">
      <c r="D1391" s="31"/>
    </row>
    <row r="1392" spans="4:4">
      <c r="D1392" s="31"/>
    </row>
    <row r="1393" spans="4:4">
      <c r="D1393" s="31"/>
    </row>
    <row r="1394" spans="4:4">
      <c r="D1394" s="31"/>
    </row>
    <row r="1395" spans="4:4">
      <c r="D1395" s="31"/>
    </row>
    <row r="1396" spans="4:4">
      <c r="D1396" s="31"/>
    </row>
    <row r="1397" spans="4:4">
      <c r="D1397" s="31"/>
    </row>
    <row r="1398" spans="4:4">
      <c r="D1398" s="31"/>
    </row>
    <row r="1399" spans="4:4">
      <c r="D1399" s="31"/>
    </row>
    <row r="1400" spans="4:4">
      <c r="D1400" s="31"/>
    </row>
    <row r="1401" spans="4:4">
      <c r="D1401" s="31"/>
    </row>
    <row r="1402" spans="4:4">
      <c r="D1402" s="31"/>
    </row>
    <row r="1403" spans="4:4">
      <c r="D1403" s="31"/>
    </row>
    <row r="1404" spans="4:4">
      <c r="D1404" s="31"/>
    </row>
    <row r="1405" spans="4:4">
      <c r="D1405" s="31"/>
    </row>
    <row r="1406" spans="4:4">
      <c r="D1406" s="31"/>
    </row>
    <row r="1407" spans="4:4">
      <c r="D1407" s="31"/>
    </row>
    <row r="1408" spans="4:4">
      <c r="D1408" s="31"/>
    </row>
    <row r="1409" spans="4:4">
      <c r="D1409" s="31"/>
    </row>
    <row r="1410" spans="4:4">
      <c r="D1410" s="31"/>
    </row>
    <row r="1411" spans="4:4">
      <c r="D1411" s="31"/>
    </row>
    <row r="1412" spans="4:4">
      <c r="D1412" s="31"/>
    </row>
    <row r="1413" spans="4:4">
      <c r="D1413" s="31"/>
    </row>
    <row r="1414" spans="4:4">
      <c r="D1414" s="31"/>
    </row>
    <row r="1415" spans="4:4">
      <c r="D1415" s="31"/>
    </row>
  </sheetData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415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2.1640625" style="2" customWidth="1"/>
    <col min="2" max="2" width="10.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41</v>
      </c>
      <c r="B2" s="1" t="s">
        <v>42</v>
      </c>
      <c r="C2" s="27">
        <v>65.687327272727273</v>
      </c>
      <c r="D2" s="28">
        <f t="shared" ref="D2:D10" si="0">C2*1000</f>
        <v>65687.327272727271</v>
      </c>
      <c r="E2" s="1" t="s">
        <v>26</v>
      </c>
      <c r="F2" s="29">
        <v>10.640092000000003</v>
      </c>
      <c r="G2" s="30">
        <v>0.21839800000000054</v>
      </c>
      <c r="H2" s="101">
        <f>(F2-10.17112989)/0.822523032</f>
        <v>0.57015073348122758</v>
      </c>
      <c r="I2" s="3">
        <v>0.80817007417999998</v>
      </c>
      <c r="J2" s="88">
        <v>65600</v>
      </c>
      <c r="K2" s="3">
        <v>0.87518795433399998</v>
      </c>
      <c r="L2" s="88">
        <v>65700</v>
      </c>
      <c r="M2" s="3">
        <v>0.87518795433399998</v>
      </c>
      <c r="N2" s="88">
        <v>65700</v>
      </c>
      <c r="O2" s="3">
        <v>0.88863712179300003</v>
      </c>
      <c r="P2" s="88">
        <v>65700</v>
      </c>
    </row>
    <row r="3" spans="1:16">
      <c r="A3" s="1" t="s">
        <v>41</v>
      </c>
      <c r="B3" s="1" t="s">
        <v>42</v>
      </c>
      <c r="C3" s="27">
        <v>65.688363636363633</v>
      </c>
      <c r="D3" s="28">
        <f t="shared" si="0"/>
        <v>65688.363636363632</v>
      </c>
      <c r="E3" s="1" t="s">
        <v>26</v>
      </c>
      <c r="F3" s="29">
        <v>9.8870430000000038</v>
      </c>
      <c r="G3" s="30">
        <v>-0.53465099999999843</v>
      </c>
      <c r="H3" s="101">
        <f t="shared" ref="H3:H66" si="1">(F3-10.17112989)/0.822523032</f>
        <v>-0.34538472352467303</v>
      </c>
      <c r="I3" s="3">
        <v>0.87447672804900001</v>
      </c>
      <c r="J3" s="88">
        <v>65800</v>
      </c>
      <c r="K3" s="3">
        <v>0.67247296221899999</v>
      </c>
      <c r="L3" s="88">
        <v>65850</v>
      </c>
      <c r="M3" s="3">
        <v>0.13438225516399999</v>
      </c>
      <c r="N3" s="88">
        <v>65800</v>
      </c>
      <c r="O3" s="3">
        <v>0.59138769483499998</v>
      </c>
      <c r="P3" s="88">
        <v>65850</v>
      </c>
    </row>
    <row r="4" spans="1:16">
      <c r="A4" s="1" t="s">
        <v>41</v>
      </c>
      <c r="B4" s="1" t="s">
        <v>42</v>
      </c>
      <c r="C4" s="27">
        <v>65.688800000000001</v>
      </c>
      <c r="D4" s="28">
        <f t="shared" si="0"/>
        <v>65688.800000000003</v>
      </c>
      <c r="E4" s="1" t="s">
        <v>26</v>
      </c>
      <c r="F4" s="29">
        <v>10.861907000000002</v>
      </c>
      <c r="G4" s="30">
        <v>0.44021299999999997</v>
      </c>
      <c r="H4" s="101">
        <f t="shared" si="1"/>
        <v>0.83982707246549493</v>
      </c>
      <c r="I4" s="3">
        <v>0.71452740767900003</v>
      </c>
      <c r="J4" s="88">
        <v>66000</v>
      </c>
      <c r="K4" s="3">
        <v>0.70101988319099995</v>
      </c>
      <c r="L4" s="88">
        <v>66000</v>
      </c>
      <c r="M4" s="3">
        <v>0.78037085263499995</v>
      </c>
      <c r="N4" s="88">
        <v>65900</v>
      </c>
      <c r="O4" s="3">
        <v>0.43051925126700002</v>
      </c>
      <c r="P4" s="88">
        <v>65900</v>
      </c>
    </row>
    <row r="5" spans="1:16">
      <c r="A5" s="1" t="s">
        <v>41</v>
      </c>
      <c r="B5" s="1" t="s">
        <v>42</v>
      </c>
      <c r="C5" s="27">
        <v>65.689454545454538</v>
      </c>
      <c r="D5" s="28">
        <f t="shared" si="0"/>
        <v>65689.454545454544</v>
      </c>
      <c r="E5" s="1" t="s">
        <v>26</v>
      </c>
      <c r="F5" s="29">
        <v>11.083872000000003</v>
      </c>
      <c r="G5" s="30">
        <v>0.66217800000000082</v>
      </c>
      <c r="H5" s="101">
        <f t="shared" si="1"/>
        <v>1.1096857771637494</v>
      </c>
      <c r="I5" s="3">
        <v>1.9910785908199999</v>
      </c>
      <c r="J5" s="88">
        <v>66200</v>
      </c>
      <c r="K5" s="3">
        <v>3.22976973993</v>
      </c>
      <c r="L5" s="88">
        <v>66150</v>
      </c>
      <c r="M5" s="3">
        <v>0.37764899925599998</v>
      </c>
      <c r="N5" s="88">
        <v>66000</v>
      </c>
      <c r="O5" s="3">
        <v>0.134783459735</v>
      </c>
      <c r="P5" s="88">
        <v>65950</v>
      </c>
    </row>
    <row r="6" spans="1:16">
      <c r="A6" s="1" t="s">
        <v>41</v>
      </c>
      <c r="B6" s="1" t="s">
        <v>42</v>
      </c>
      <c r="C6" s="27">
        <v>65.689890909090906</v>
      </c>
      <c r="D6" s="28">
        <f t="shared" si="0"/>
        <v>65689.8909090909</v>
      </c>
      <c r="E6" s="1" t="s">
        <v>26</v>
      </c>
      <c r="F6" s="29">
        <v>11.261552000000002</v>
      </c>
      <c r="G6" s="30">
        <v>0.83985799999999955</v>
      </c>
      <c r="H6" s="101">
        <f t="shared" si="1"/>
        <v>1.3257040442364199</v>
      </c>
      <c r="M6" s="3">
        <v>0.78216715491699995</v>
      </c>
      <c r="N6" s="88">
        <v>66100</v>
      </c>
      <c r="O6" s="3">
        <v>1.23757507093</v>
      </c>
      <c r="P6" s="88">
        <v>66000</v>
      </c>
    </row>
    <row r="7" spans="1:16">
      <c r="A7" s="1" t="s">
        <v>41</v>
      </c>
      <c r="B7" s="1" t="s">
        <v>42</v>
      </c>
      <c r="C7" s="27">
        <v>65.690545454545457</v>
      </c>
      <c r="D7" s="28">
        <f t="shared" si="0"/>
        <v>65690.545454545456</v>
      </c>
      <c r="E7" s="1" t="s">
        <v>26</v>
      </c>
      <c r="F7" s="29">
        <v>11.261552000000002</v>
      </c>
      <c r="G7" s="30">
        <v>0.83985799999999955</v>
      </c>
      <c r="H7" s="101">
        <f t="shared" si="1"/>
        <v>1.3257040442364199</v>
      </c>
      <c r="M7" s="3">
        <v>1.9910785908199999</v>
      </c>
      <c r="N7" s="88">
        <v>66200</v>
      </c>
      <c r="O7" s="3">
        <v>1.0525911932400001</v>
      </c>
      <c r="P7" s="88">
        <v>66050</v>
      </c>
    </row>
    <row r="8" spans="1:16">
      <c r="A8" s="1" t="s">
        <v>41</v>
      </c>
      <c r="B8" s="1" t="s">
        <v>42</v>
      </c>
      <c r="C8" s="27">
        <v>65.690981818181811</v>
      </c>
      <c r="D8" s="28">
        <f t="shared" si="0"/>
        <v>65690.981818181812</v>
      </c>
      <c r="E8" s="1" t="s">
        <v>26</v>
      </c>
      <c r="F8" s="29">
        <v>10.374112000000002</v>
      </c>
      <c r="G8" s="30">
        <v>-4.7582000000000235E-2</v>
      </c>
      <c r="H8" s="101">
        <f t="shared" si="1"/>
        <v>0.24677984944256545</v>
      </c>
      <c r="O8" s="3">
        <v>1.9910785908199999</v>
      </c>
      <c r="P8" s="88">
        <v>66150</v>
      </c>
    </row>
    <row r="9" spans="1:16">
      <c r="A9" s="1" t="s">
        <v>41</v>
      </c>
      <c r="B9" s="1" t="s">
        <v>42</v>
      </c>
      <c r="C9" s="27">
        <v>65.691636363636363</v>
      </c>
      <c r="D9" s="28">
        <f t="shared" si="0"/>
        <v>65691.636363636368</v>
      </c>
      <c r="E9" s="1" t="s">
        <v>26</v>
      </c>
      <c r="F9" s="29">
        <v>9.3123520000000006</v>
      </c>
      <c r="G9" s="30">
        <v>-1.1093420000000016</v>
      </c>
      <c r="H9" s="101">
        <f t="shared" si="1"/>
        <v>-1.0440776204306932</v>
      </c>
    </row>
    <row r="10" spans="1:16">
      <c r="A10" s="1" t="s">
        <v>41</v>
      </c>
      <c r="B10" s="1" t="s">
        <v>42</v>
      </c>
      <c r="C10" s="27">
        <v>65.691636363636363</v>
      </c>
      <c r="D10" s="28">
        <f t="shared" si="0"/>
        <v>65691.636363636368</v>
      </c>
      <c r="E10" s="1" t="s">
        <v>26</v>
      </c>
      <c r="F10" s="29">
        <v>9.6658880000000025</v>
      </c>
      <c r="G10" s="30">
        <v>-0.75580599999999976</v>
      </c>
      <c r="H10" s="101">
        <f t="shared" si="1"/>
        <v>-0.61425865336740759</v>
      </c>
    </row>
    <row r="11" spans="1:16">
      <c r="A11" s="1" t="s">
        <v>41</v>
      </c>
      <c r="B11" s="1" t="s">
        <v>42</v>
      </c>
      <c r="C11" s="27">
        <v>65.692072727272731</v>
      </c>
      <c r="D11" s="28">
        <f t="shared" ref="D11:D74" si="2">C11*1000</f>
        <v>65692.072727272724</v>
      </c>
      <c r="E11" s="1" t="s">
        <v>26</v>
      </c>
      <c r="F11" s="29">
        <v>10.418427000000001</v>
      </c>
      <c r="G11" s="30">
        <v>-3.2670000000010191E-3</v>
      </c>
      <c r="H11" s="101">
        <f t="shared" si="1"/>
        <v>0.30065676021094284</v>
      </c>
    </row>
    <row r="12" spans="1:16">
      <c r="A12" s="1" t="s">
        <v>41</v>
      </c>
      <c r="B12" s="1" t="s">
        <v>42</v>
      </c>
      <c r="C12" s="27">
        <v>65.692072727272731</v>
      </c>
      <c r="D12" s="28">
        <f t="shared" si="2"/>
        <v>65692.072727272724</v>
      </c>
      <c r="E12" s="1" t="s">
        <v>26</v>
      </c>
      <c r="F12" s="29">
        <v>10.462748000000001</v>
      </c>
      <c r="G12" s="30">
        <v>4.1053999999999036E-2</v>
      </c>
      <c r="H12" s="101">
        <f t="shared" si="1"/>
        <v>0.35454096560788062</v>
      </c>
    </row>
    <row r="13" spans="1:16">
      <c r="A13" s="1" t="s">
        <v>41</v>
      </c>
      <c r="B13" s="1" t="s">
        <v>42</v>
      </c>
      <c r="C13" s="27">
        <v>65.692727272727268</v>
      </c>
      <c r="D13" s="28">
        <f t="shared" si="2"/>
        <v>65692.727272727265</v>
      </c>
      <c r="E13" s="1" t="s">
        <v>26</v>
      </c>
      <c r="F13" s="29">
        <v>10.861907000000002</v>
      </c>
      <c r="G13" s="30">
        <v>0.44021299999999997</v>
      </c>
      <c r="H13" s="101">
        <f t="shared" si="1"/>
        <v>0.83982707246549493</v>
      </c>
    </row>
    <row r="14" spans="1:16">
      <c r="A14" s="1" t="s">
        <v>41</v>
      </c>
      <c r="B14" s="1" t="s">
        <v>42</v>
      </c>
      <c r="C14" s="27">
        <v>65.693163636363636</v>
      </c>
      <c r="D14" s="28">
        <f t="shared" si="2"/>
        <v>65693.163636363635</v>
      </c>
      <c r="E14" s="1" t="s">
        <v>26</v>
      </c>
      <c r="F14" s="29">
        <v>10.595747000000001</v>
      </c>
      <c r="G14" s="30">
        <v>0.1740529999999989</v>
      </c>
      <c r="H14" s="101">
        <f t="shared" si="1"/>
        <v>0.51623734957005019</v>
      </c>
    </row>
    <row r="15" spans="1:16">
      <c r="A15" s="1" t="s">
        <v>41</v>
      </c>
      <c r="B15" s="1" t="s">
        <v>42</v>
      </c>
      <c r="C15" s="27">
        <v>65.693818181818173</v>
      </c>
      <c r="D15" s="28">
        <f t="shared" si="2"/>
        <v>65693.818181818177</v>
      </c>
      <c r="E15" s="1" t="s">
        <v>26</v>
      </c>
      <c r="F15" s="29">
        <v>10.640092000000003</v>
      </c>
      <c r="G15" s="30">
        <v>0.21839800000000054</v>
      </c>
      <c r="H15" s="101">
        <f t="shared" si="1"/>
        <v>0.57015073348122758</v>
      </c>
    </row>
    <row r="16" spans="1:16">
      <c r="A16" s="1" t="s">
        <v>41</v>
      </c>
      <c r="B16" s="1" t="s">
        <v>42</v>
      </c>
      <c r="C16" s="27">
        <v>65.694254545454541</v>
      </c>
      <c r="D16" s="28">
        <f t="shared" si="2"/>
        <v>65694.254545454547</v>
      </c>
      <c r="E16" s="1" t="s">
        <v>26</v>
      </c>
      <c r="F16" s="29">
        <v>10.285500000000003</v>
      </c>
      <c r="G16" s="30">
        <v>-0.1361939999999997</v>
      </c>
      <c r="H16" s="101">
        <f t="shared" si="1"/>
        <v>0.13904791179148765</v>
      </c>
    </row>
    <row r="17" spans="1:8">
      <c r="A17" s="1" t="s">
        <v>41</v>
      </c>
      <c r="B17" s="1" t="s">
        <v>42</v>
      </c>
      <c r="C17" s="27">
        <v>65.694909090909093</v>
      </c>
      <c r="D17" s="28">
        <f t="shared" si="2"/>
        <v>65694.909090909088</v>
      </c>
      <c r="E17" s="1" t="s">
        <v>26</v>
      </c>
      <c r="F17" s="29">
        <v>10.241203000000002</v>
      </c>
      <c r="G17" s="30">
        <v>-0.18049099999999996</v>
      </c>
      <c r="H17" s="101">
        <f t="shared" si="1"/>
        <v>8.5192884908787223E-2</v>
      </c>
    </row>
    <row r="18" spans="1:8">
      <c r="A18" s="1" t="s">
        <v>41</v>
      </c>
      <c r="B18" s="1" t="s">
        <v>42</v>
      </c>
      <c r="C18" s="27">
        <v>65.695345454545446</v>
      </c>
      <c r="D18" s="28">
        <f t="shared" si="2"/>
        <v>65695.345454545444</v>
      </c>
      <c r="E18" s="1" t="s">
        <v>26</v>
      </c>
      <c r="F18" s="29">
        <v>10.019808000000001</v>
      </c>
      <c r="G18" s="30">
        <v>-0.40188600000000108</v>
      </c>
      <c r="H18" s="101">
        <f t="shared" si="1"/>
        <v>-0.18397283007632351</v>
      </c>
    </row>
    <row r="19" spans="1:8">
      <c r="A19" s="1" t="s">
        <v>41</v>
      </c>
      <c r="B19" s="1" t="s">
        <v>42</v>
      </c>
      <c r="C19" s="27">
        <v>65.695999999999998</v>
      </c>
      <c r="D19" s="28">
        <f t="shared" si="2"/>
        <v>65696</v>
      </c>
      <c r="E19" s="1" t="s">
        <v>26</v>
      </c>
      <c r="F19" s="29">
        <v>10.329803000000002</v>
      </c>
      <c r="G19" s="30">
        <v>-9.1891000000000389E-2</v>
      </c>
      <c r="H19" s="101">
        <f t="shared" si="1"/>
        <v>0.19291023330274634</v>
      </c>
    </row>
    <row r="20" spans="1:8">
      <c r="A20" s="1" t="s">
        <v>41</v>
      </c>
      <c r="B20" s="1" t="s">
        <v>42</v>
      </c>
      <c r="C20" s="27">
        <v>65.697090909090903</v>
      </c>
      <c r="D20" s="28">
        <f t="shared" si="2"/>
        <v>65697.090909090897</v>
      </c>
      <c r="E20" s="1" t="s">
        <v>26</v>
      </c>
      <c r="F20" s="29">
        <v>10.773163000000004</v>
      </c>
      <c r="G20" s="30">
        <v>0.35146900000000159</v>
      </c>
      <c r="H20" s="101">
        <f t="shared" si="1"/>
        <v>0.73193465298611149</v>
      </c>
    </row>
    <row r="21" spans="1:8">
      <c r="A21" s="1" t="s">
        <v>41</v>
      </c>
      <c r="B21" s="1" t="s">
        <v>42</v>
      </c>
      <c r="C21" s="27">
        <v>65.697090909090903</v>
      </c>
      <c r="D21" s="28">
        <f t="shared" si="2"/>
        <v>65697.090909090897</v>
      </c>
      <c r="E21" s="1" t="s">
        <v>26</v>
      </c>
      <c r="F21" s="29">
        <v>11.039467000000004</v>
      </c>
      <c r="G21" s="30">
        <v>0.61777300000000146</v>
      </c>
      <c r="H21" s="101">
        <f t="shared" si="1"/>
        <v>1.0556994469669807</v>
      </c>
    </row>
    <row r="22" spans="1:8">
      <c r="A22" s="1" t="s">
        <v>41</v>
      </c>
      <c r="B22" s="1" t="s">
        <v>42</v>
      </c>
      <c r="C22" s="27">
        <v>65.697527272727271</v>
      </c>
      <c r="D22" s="28">
        <f t="shared" si="2"/>
        <v>65697.527272727268</v>
      </c>
      <c r="E22" s="1" t="s">
        <v>26</v>
      </c>
      <c r="F22" s="29">
        <v>10.507075000000002</v>
      </c>
      <c r="G22" s="30">
        <v>8.5380999999999929E-2</v>
      </c>
      <c r="H22" s="101">
        <f t="shared" si="1"/>
        <v>0.40843246563337887</v>
      </c>
    </row>
    <row r="23" spans="1:8">
      <c r="A23" s="1" t="s">
        <v>41</v>
      </c>
      <c r="B23" s="1" t="s">
        <v>42</v>
      </c>
      <c r="C23" s="27">
        <v>65.698181818181823</v>
      </c>
      <c r="D23" s="28">
        <f t="shared" si="2"/>
        <v>65698.181818181823</v>
      </c>
      <c r="E23" s="1" t="s">
        <v>26</v>
      </c>
      <c r="F23" s="29">
        <v>9.8870430000000038</v>
      </c>
      <c r="G23" s="30">
        <v>-0.53465099999999843</v>
      </c>
      <c r="H23" s="101">
        <f t="shared" si="1"/>
        <v>-0.34538472352467303</v>
      </c>
    </row>
    <row r="24" spans="1:8">
      <c r="A24" s="1" t="s">
        <v>41</v>
      </c>
      <c r="B24" s="1" t="s">
        <v>42</v>
      </c>
      <c r="C24" s="27">
        <v>65.698618181818176</v>
      </c>
      <c r="D24" s="28">
        <f t="shared" si="2"/>
        <v>65698.618181818179</v>
      </c>
      <c r="E24" s="1" t="s">
        <v>26</v>
      </c>
      <c r="F24" s="29">
        <v>10.329803000000002</v>
      </c>
      <c r="G24" s="30">
        <v>-9.1891000000000389E-2</v>
      </c>
      <c r="H24" s="101">
        <f t="shared" si="1"/>
        <v>0.19291023330274634</v>
      </c>
    </row>
    <row r="25" spans="1:8">
      <c r="A25" s="1" t="s">
        <v>41</v>
      </c>
      <c r="B25" s="1" t="s">
        <v>42</v>
      </c>
      <c r="C25" s="27">
        <v>65.699272727272728</v>
      </c>
      <c r="D25" s="28">
        <f t="shared" si="2"/>
        <v>65699.272727272735</v>
      </c>
      <c r="E25" s="1" t="s">
        <v>26</v>
      </c>
      <c r="F25" s="29">
        <v>9.4448830000000008</v>
      </c>
      <c r="G25" s="30">
        <v>-0.97681100000000143</v>
      </c>
      <c r="H25" s="101">
        <f t="shared" si="1"/>
        <v>-0.88295021749615732</v>
      </c>
    </row>
    <row r="26" spans="1:8">
      <c r="A26" s="1" t="s">
        <v>41</v>
      </c>
      <c r="B26" s="1" t="s">
        <v>42</v>
      </c>
      <c r="C26" s="27">
        <v>65.699272727272728</v>
      </c>
      <c r="D26" s="28">
        <f t="shared" si="2"/>
        <v>65699.272727272735</v>
      </c>
      <c r="E26" s="1" t="s">
        <v>26</v>
      </c>
      <c r="F26" s="29">
        <v>10.462748000000001</v>
      </c>
      <c r="G26" s="30">
        <v>4.1053999999999036E-2</v>
      </c>
      <c r="H26" s="101">
        <f t="shared" si="1"/>
        <v>0.35454096560788062</v>
      </c>
    </row>
    <row r="27" spans="1:8">
      <c r="A27" s="1" t="s">
        <v>41</v>
      </c>
      <c r="B27" s="1" t="s">
        <v>42</v>
      </c>
      <c r="C27" s="27">
        <v>65.699709090909096</v>
      </c>
      <c r="D27" s="28">
        <f t="shared" si="2"/>
        <v>65699.709090909091</v>
      </c>
      <c r="E27" s="1" t="s">
        <v>26</v>
      </c>
      <c r="F27" s="29">
        <v>9.9312920000000009</v>
      </c>
      <c r="G27" s="30">
        <v>-0.49040200000000134</v>
      </c>
      <c r="H27" s="101">
        <f t="shared" si="1"/>
        <v>-0.29158805367045171</v>
      </c>
    </row>
    <row r="28" spans="1:8">
      <c r="A28" s="1" t="s">
        <v>41</v>
      </c>
      <c r="B28" s="1" t="s">
        <v>42</v>
      </c>
      <c r="C28" s="27">
        <v>65.700363636363633</v>
      </c>
      <c r="D28" s="28">
        <f t="shared" si="2"/>
        <v>65700.363636363632</v>
      </c>
      <c r="E28" s="1" t="s">
        <v>26</v>
      </c>
      <c r="F28" s="29">
        <v>10.728800000000001</v>
      </c>
      <c r="G28" s="30">
        <v>0.30710599999999921</v>
      </c>
      <c r="H28" s="101">
        <f t="shared" si="1"/>
        <v>0.67799938518925496</v>
      </c>
    </row>
    <row r="29" spans="1:8">
      <c r="A29" s="1" t="s">
        <v>41</v>
      </c>
      <c r="B29" s="1" t="s">
        <v>42</v>
      </c>
      <c r="C29" s="27">
        <v>65.700800000000001</v>
      </c>
      <c r="D29" s="28">
        <f t="shared" si="2"/>
        <v>65700.800000000003</v>
      </c>
      <c r="E29" s="1" t="s">
        <v>26</v>
      </c>
      <c r="F29" s="29">
        <v>11.261552000000002</v>
      </c>
      <c r="G29" s="30">
        <v>0.83985799999999955</v>
      </c>
      <c r="H29" s="101">
        <f t="shared" si="1"/>
        <v>1.3257040442364199</v>
      </c>
    </row>
    <row r="30" spans="1:8">
      <c r="A30" s="1" t="s">
        <v>41</v>
      </c>
      <c r="B30" s="1" t="s">
        <v>42</v>
      </c>
      <c r="C30" s="27">
        <v>65.701454545454538</v>
      </c>
      <c r="D30" s="28">
        <f t="shared" si="2"/>
        <v>65701.454545454544</v>
      </c>
      <c r="E30" s="1" t="s">
        <v>26</v>
      </c>
      <c r="F30" s="29">
        <v>10.684443000000002</v>
      </c>
      <c r="G30" s="30">
        <v>0.26274899999999946</v>
      </c>
      <c r="H30" s="101">
        <f t="shared" si="1"/>
        <v>0.62407141202096106</v>
      </c>
    </row>
    <row r="31" spans="1:8">
      <c r="A31" s="1" t="s">
        <v>41</v>
      </c>
      <c r="B31" s="1" t="s">
        <v>42</v>
      </c>
      <c r="C31" s="27">
        <v>65.702545454545458</v>
      </c>
      <c r="D31" s="28">
        <f t="shared" si="2"/>
        <v>65702.545454545456</v>
      </c>
      <c r="E31" s="1" t="s">
        <v>26</v>
      </c>
      <c r="F31" s="29">
        <v>8.9150830000000028</v>
      </c>
      <c r="G31" s="30">
        <v>-1.5066109999999995</v>
      </c>
      <c r="H31" s="101">
        <f t="shared" si="1"/>
        <v>-1.5270659192920897</v>
      </c>
    </row>
    <row r="32" spans="1:8">
      <c r="A32" s="1" t="s">
        <v>41</v>
      </c>
      <c r="B32" s="1" t="s">
        <v>42</v>
      </c>
      <c r="C32" s="27">
        <v>65.702981818181811</v>
      </c>
      <c r="D32" s="28">
        <f t="shared" si="2"/>
        <v>65702.981818181812</v>
      </c>
      <c r="E32" s="1" t="s">
        <v>26</v>
      </c>
      <c r="F32" s="29">
        <v>10.108348000000003</v>
      </c>
      <c r="G32" s="30">
        <v>-0.31334599999999924</v>
      </c>
      <c r="H32" s="101">
        <f t="shared" si="1"/>
        <v>-7.6328427967955761E-2</v>
      </c>
    </row>
    <row r="33" spans="1:8">
      <c r="A33" s="1" t="s">
        <v>41</v>
      </c>
      <c r="B33" s="1" t="s">
        <v>42</v>
      </c>
      <c r="C33" s="27">
        <v>65.703690909090909</v>
      </c>
      <c r="D33" s="28">
        <f t="shared" si="2"/>
        <v>65703.690909090903</v>
      </c>
      <c r="E33" s="1" t="s">
        <v>26</v>
      </c>
      <c r="F33" s="29">
        <v>7.5065070000000018</v>
      </c>
      <c r="G33" s="30">
        <v>-2.9151870000000004</v>
      </c>
      <c r="H33" s="101">
        <f t="shared" si="1"/>
        <v>-3.2395723722420917</v>
      </c>
    </row>
    <row r="34" spans="1:8">
      <c r="A34" s="1" t="s">
        <v>41</v>
      </c>
      <c r="B34" s="1" t="s">
        <v>42</v>
      </c>
      <c r="C34" s="27">
        <v>65.704781818181814</v>
      </c>
      <c r="D34" s="28">
        <f t="shared" si="2"/>
        <v>65704.781818181815</v>
      </c>
      <c r="E34" s="1" t="s">
        <v>26</v>
      </c>
      <c r="F34" s="29">
        <v>8.1220030000000012</v>
      </c>
      <c r="G34" s="30">
        <v>-2.299691000000001</v>
      </c>
      <c r="H34" s="101">
        <f t="shared" si="1"/>
        <v>-2.4912699222749528</v>
      </c>
    </row>
    <row r="35" spans="1:8">
      <c r="A35" s="1" t="s">
        <v>41</v>
      </c>
      <c r="B35" s="1" t="s">
        <v>42</v>
      </c>
      <c r="C35" s="27">
        <v>65.705218181818182</v>
      </c>
      <c r="D35" s="28">
        <f t="shared" si="2"/>
        <v>65705.218181818185</v>
      </c>
      <c r="E35" s="1" t="s">
        <v>26</v>
      </c>
      <c r="F35" s="29">
        <v>8.2540480000000009</v>
      </c>
      <c r="G35" s="30">
        <v>-2.1676460000000013</v>
      </c>
      <c r="H35" s="101">
        <f t="shared" si="1"/>
        <v>-2.3307333842537297</v>
      </c>
    </row>
    <row r="36" spans="1:8">
      <c r="A36" s="1" t="s">
        <v>41</v>
      </c>
      <c r="B36" s="1" t="s">
        <v>42</v>
      </c>
      <c r="C36" s="27">
        <v>65.705818181818174</v>
      </c>
      <c r="D36" s="28">
        <f t="shared" si="2"/>
        <v>65705.818181818177</v>
      </c>
      <c r="E36" s="1" t="s">
        <v>26</v>
      </c>
      <c r="F36" s="29">
        <v>9.6216750000000033</v>
      </c>
      <c r="G36" s="30">
        <v>-0.80001899999999893</v>
      </c>
      <c r="H36" s="101">
        <f t="shared" si="1"/>
        <v>-0.66801155545027491</v>
      </c>
    </row>
    <row r="37" spans="1:8">
      <c r="A37" s="1" t="s">
        <v>41</v>
      </c>
      <c r="B37" s="1" t="s">
        <v>42</v>
      </c>
      <c r="C37" s="27">
        <v>65.706254545454541</v>
      </c>
      <c r="D37" s="28">
        <f t="shared" si="2"/>
        <v>65706.254545454547</v>
      </c>
      <c r="E37" s="1" t="s">
        <v>26</v>
      </c>
      <c r="F37" s="29">
        <v>9.7543320000000033</v>
      </c>
      <c r="G37" s="30">
        <v>-0.6673619999999989</v>
      </c>
      <c r="H37" s="101">
        <f t="shared" si="1"/>
        <v>-0.5067309653159916</v>
      </c>
    </row>
    <row r="38" spans="1:8">
      <c r="A38" s="1" t="s">
        <v>41</v>
      </c>
      <c r="B38" s="1" t="s">
        <v>42</v>
      </c>
      <c r="C38" s="27">
        <v>65.706909090909093</v>
      </c>
      <c r="D38" s="28">
        <f t="shared" si="2"/>
        <v>65706.909090909088</v>
      </c>
      <c r="E38" s="1" t="s">
        <v>26</v>
      </c>
      <c r="F38" s="29">
        <v>9.6658880000000025</v>
      </c>
      <c r="G38" s="30">
        <v>-0.75580599999999976</v>
      </c>
      <c r="H38" s="101">
        <f t="shared" si="1"/>
        <v>-0.61425865336740759</v>
      </c>
    </row>
    <row r="39" spans="1:8">
      <c r="A39" s="1" t="s">
        <v>41</v>
      </c>
      <c r="B39" s="1" t="s">
        <v>42</v>
      </c>
      <c r="C39" s="27">
        <v>65.707345454545447</v>
      </c>
      <c r="D39" s="28">
        <f t="shared" si="2"/>
        <v>65707.345454545444</v>
      </c>
      <c r="E39" s="1" t="s">
        <v>26</v>
      </c>
      <c r="F39" s="29">
        <v>10.108348000000003</v>
      </c>
      <c r="G39" s="30">
        <v>-0.31334599999999924</v>
      </c>
      <c r="H39" s="101">
        <f t="shared" si="1"/>
        <v>-7.6328427967955761E-2</v>
      </c>
    </row>
    <row r="40" spans="1:8">
      <c r="A40" s="1" t="s">
        <v>41</v>
      </c>
      <c r="B40" s="1" t="s">
        <v>42</v>
      </c>
      <c r="C40" s="27">
        <v>65.707890909090906</v>
      </c>
      <c r="D40" s="28">
        <f t="shared" si="2"/>
        <v>65707.8909090909</v>
      </c>
      <c r="E40" s="1" t="s">
        <v>26</v>
      </c>
      <c r="F40" s="29">
        <v>10.152627000000003</v>
      </c>
      <c r="G40" s="30">
        <v>-0.26906699999999972</v>
      </c>
      <c r="H40" s="101">
        <f t="shared" si="1"/>
        <v>-2.2495284970934469E-2</v>
      </c>
    </row>
    <row r="41" spans="1:8">
      <c r="A41" s="1" t="s">
        <v>41</v>
      </c>
      <c r="B41" s="1" t="s">
        <v>42</v>
      </c>
      <c r="C41" s="27">
        <v>65.708436363636366</v>
      </c>
      <c r="D41" s="28">
        <f t="shared" si="2"/>
        <v>65708.436363636371</v>
      </c>
      <c r="E41" s="1" t="s">
        <v>26</v>
      </c>
      <c r="F41" s="29">
        <v>10.374112000000002</v>
      </c>
      <c r="G41" s="30">
        <v>-4.7582000000000235E-2</v>
      </c>
      <c r="H41" s="101">
        <f t="shared" si="1"/>
        <v>0.24677984944256545</v>
      </c>
    </row>
    <row r="42" spans="1:8">
      <c r="A42" s="1" t="s">
        <v>41</v>
      </c>
      <c r="B42" s="1" t="s">
        <v>42</v>
      </c>
      <c r="C42" s="27">
        <v>65.709090909090904</v>
      </c>
      <c r="D42" s="28">
        <f t="shared" si="2"/>
        <v>65709.090909090897</v>
      </c>
      <c r="E42" s="1" t="s">
        <v>26</v>
      </c>
      <c r="F42" s="29">
        <v>9.1357280000000021</v>
      </c>
      <c r="G42" s="30">
        <v>-1.2859660000000002</v>
      </c>
      <c r="H42" s="101">
        <f t="shared" si="1"/>
        <v>-1.2588120328769072</v>
      </c>
    </row>
    <row r="43" spans="1:8">
      <c r="A43" s="1" t="s">
        <v>41</v>
      </c>
      <c r="B43" s="1" t="s">
        <v>42</v>
      </c>
      <c r="C43" s="27">
        <v>65.709527269999995</v>
      </c>
      <c r="D43" s="28">
        <f t="shared" si="2"/>
        <v>65709.527269999991</v>
      </c>
      <c r="E43" s="1" t="s">
        <v>26</v>
      </c>
      <c r="F43" s="29">
        <v>9.9312920000000009</v>
      </c>
      <c r="G43" s="30">
        <v>-0.49040200000000134</v>
      </c>
      <c r="H43" s="101">
        <f t="shared" si="1"/>
        <v>-0.29158805367045171</v>
      </c>
    </row>
    <row r="44" spans="1:8">
      <c r="A44" s="1" t="s">
        <v>41</v>
      </c>
      <c r="B44" s="1" t="s">
        <v>42</v>
      </c>
      <c r="C44" s="27">
        <v>65.710181818181823</v>
      </c>
      <c r="D44" s="28">
        <f t="shared" si="2"/>
        <v>65710.181818181823</v>
      </c>
      <c r="E44" s="1" t="s">
        <v>26</v>
      </c>
      <c r="F44" s="29">
        <v>9.0915870000000023</v>
      </c>
      <c r="G44" s="30">
        <v>-1.3301069999999999</v>
      </c>
      <c r="H44" s="101">
        <f t="shared" si="1"/>
        <v>-1.3124773994170624</v>
      </c>
    </row>
    <row r="45" spans="1:8">
      <c r="A45" s="1" t="s">
        <v>41</v>
      </c>
      <c r="B45" s="1" t="s">
        <v>42</v>
      </c>
      <c r="C45" s="27">
        <v>65.710181820000003</v>
      </c>
      <c r="D45" s="28">
        <f t="shared" si="2"/>
        <v>65710.181819999998</v>
      </c>
      <c r="E45" s="1" t="s">
        <v>26</v>
      </c>
      <c r="F45" s="29">
        <v>10.196912000000001</v>
      </c>
      <c r="G45" s="30">
        <v>-0.22478200000000115</v>
      </c>
      <c r="H45" s="101">
        <f t="shared" si="1"/>
        <v>3.1345152654645082E-2</v>
      </c>
    </row>
    <row r="46" spans="1:8">
      <c r="A46" s="1" t="s">
        <v>41</v>
      </c>
      <c r="B46" s="1" t="s">
        <v>42</v>
      </c>
      <c r="C46" s="27">
        <v>65.710618179999997</v>
      </c>
      <c r="D46" s="28">
        <f t="shared" si="2"/>
        <v>65710.61817999999</v>
      </c>
      <c r="E46" s="1" t="s">
        <v>26</v>
      </c>
      <c r="F46" s="29">
        <v>10.108348000000003</v>
      </c>
      <c r="G46" s="30">
        <v>-0.31334599999999924</v>
      </c>
      <c r="H46" s="101">
        <f t="shared" si="1"/>
        <v>-7.6328427967955761E-2</v>
      </c>
    </row>
    <row r="47" spans="1:8">
      <c r="A47" s="1" t="s">
        <v>41</v>
      </c>
      <c r="B47" s="1" t="s">
        <v>42</v>
      </c>
      <c r="C47" s="27">
        <v>65.711272730000005</v>
      </c>
      <c r="D47" s="28">
        <f t="shared" si="2"/>
        <v>65711.272730000012</v>
      </c>
      <c r="E47" s="1" t="s">
        <v>26</v>
      </c>
      <c r="F47" s="29">
        <v>10.684443000000002</v>
      </c>
      <c r="G47" s="30">
        <v>0.26274899999999946</v>
      </c>
      <c r="H47" s="101">
        <f t="shared" si="1"/>
        <v>0.62407141202096106</v>
      </c>
    </row>
    <row r="48" spans="1:8">
      <c r="A48" s="1" t="s">
        <v>41</v>
      </c>
      <c r="B48" s="1" t="s">
        <v>42</v>
      </c>
      <c r="C48" s="27">
        <v>65.712363636363634</v>
      </c>
      <c r="D48" s="28">
        <f t="shared" si="2"/>
        <v>65712.363636363632</v>
      </c>
      <c r="E48" s="1" t="s">
        <v>26</v>
      </c>
      <c r="F48" s="29">
        <v>10.728800000000001</v>
      </c>
      <c r="G48" s="30">
        <v>0.30710599999999921</v>
      </c>
      <c r="H48" s="101">
        <f t="shared" si="1"/>
        <v>0.67799938518925496</v>
      </c>
    </row>
    <row r="49" spans="1:8">
      <c r="A49" s="1" t="s">
        <v>41</v>
      </c>
      <c r="B49" s="1" t="s">
        <v>42</v>
      </c>
      <c r="C49" s="27">
        <v>65.712363640000007</v>
      </c>
      <c r="D49" s="28">
        <f t="shared" si="2"/>
        <v>65712.36364000001</v>
      </c>
      <c r="E49" s="1" t="s">
        <v>26</v>
      </c>
      <c r="F49" s="29">
        <v>10.019808000000001</v>
      </c>
      <c r="G49" s="30">
        <v>-0.40188600000000108</v>
      </c>
      <c r="H49" s="101">
        <f t="shared" si="1"/>
        <v>-0.18397283007632351</v>
      </c>
    </row>
    <row r="50" spans="1:8">
      <c r="A50" s="1" t="s">
        <v>41</v>
      </c>
      <c r="B50" s="1" t="s">
        <v>42</v>
      </c>
      <c r="C50" s="27">
        <v>65.715636363636364</v>
      </c>
      <c r="D50" s="28">
        <f t="shared" si="2"/>
        <v>65715.636363636368</v>
      </c>
      <c r="E50" s="1" t="s">
        <v>26</v>
      </c>
      <c r="F50" s="29">
        <v>10.551408000000002</v>
      </c>
      <c r="G50" s="30">
        <v>0.12971399999999988</v>
      </c>
      <c r="H50" s="101">
        <f t="shared" si="1"/>
        <v>0.46233126028743543</v>
      </c>
    </row>
    <row r="51" spans="1:8">
      <c r="A51" s="1" t="s">
        <v>41</v>
      </c>
      <c r="B51" s="1" t="s">
        <v>42</v>
      </c>
      <c r="C51" s="27">
        <v>65.715636363636364</v>
      </c>
      <c r="D51" s="28">
        <f t="shared" si="2"/>
        <v>65715.636363636368</v>
      </c>
      <c r="E51" s="1" t="s">
        <v>26</v>
      </c>
      <c r="F51" s="29">
        <v>10.241203000000002</v>
      </c>
      <c r="G51" s="30">
        <v>-0.18049099999999996</v>
      </c>
      <c r="H51" s="101">
        <f t="shared" si="1"/>
        <v>8.5192884908787223E-2</v>
      </c>
    </row>
    <row r="52" spans="1:8">
      <c r="A52" s="1" t="s">
        <v>41</v>
      </c>
      <c r="B52" s="1" t="s">
        <v>42</v>
      </c>
      <c r="C52" s="27">
        <v>65.717163636363637</v>
      </c>
      <c r="D52" s="28">
        <f>C52*1000</f>
        <v>65717.163636363635</v>
      </c>
      <c r="E52" s="1" t="s">
        <v>26</v>
      </c>
      <c r="F52" s="29">
        <v>9.9755470000000024</v>
      </c>
      <c r="G52" s="30">
        <v>-0.44614699999999985</v>
      </c>
      <c r="H52" s="101">
        <f t="shared" si="1"/>
        <v>-0.23778408918766566</v>
      </c>
    </row>
    <row r="53" spans="1:8">
      <c r="A53" s="1" t="s">
        <v>41</v>
      </c>
      <c r="B53" s="1" t="s">
        <v>42</v>
      </c>
      <c r="C53" s="27">
        <v>65.718909090909094</v>
      </c>
      <c r="D53" s="28">
        <f t="shared" si="2"/>
        <v>65718.909090909088</v>
      </c>
      <c r="E53" s="1" t="s">
        <v>26</v>
      </c>
      <c r="F53" s="29">
        <v>10.906288000000004</v>
      </c>
      <c r="G53" s="30">
        <v>0.4845940000000013</v>
      </c>
      <c r="H53" s="101">
        <f t="shared" si="1"/>
        <v>0.89378422414802849</v>
      </c>
    </row>
    <row r="54" spans="1:8">
      <c r="A54" s="1" t="s">
        <v>41</v>
      </c>
      <c r="B54" s="1" t="s">
        <v>42</v>
      </c>
      <c r="C54" s="27">
        <v>65.718909090909094</v>
      </c>
      <c r="D54" s="28">
        <f t="shared" si="2"/>
        <v>65718.909090909088</v>
      </c>
      <c r="E54" s="1" t="s">
        <v>26</v>
      </c>
      <c r="F54" s="29">
        <v>10.108348000000003</v>
      </c>
      <c r="G54" s="30">
        <v>-0.31334599999999924</v>
      </c>
      <c r="H54" s="101">
        <f t="shared" si="1"/>
        <v>-7.6328427967955761E-2</v>
      </c>
    </row>
    <row r="55" spans="1:8">
      <c r="A55" s="1" t="s">
        <v>41</v>
      </c>
      <c r="B55" s="1" t="s">
        <v>42</v>
      </c>
      <c r="C55" s="27">
        <v>65.719890909090907</v>
      </c>
      <c r="D55" s="28">
        <f t="shared" si="2"/>
        <v>65719.8909090909</v>
      </c>
      <c r="E55" s="1" t="s">
        <v>26</v>
      </c>
      <c r="F55" s="29">
        <v>10.196912000000001</v>
      </c>
      <c r="G55" s="30">
        <v>-0.22478200000000115</v>
      </c>
      <c r="H55" s="101">
        <f t="shared" si="1"/>
        <v>3.1345152654645082E-2</v>
      </c>
    </row>
    <row r="56" spans="1:8">
      <c r="A56" s="1" t="s">
        <v>41</v>
      </c>
      <c r="B56" s="1" t="s">
        <v>42</v>
      </c>
      <c r="C56" s="27">
        <v>65.719890909090907</v>
      </c>
      <c r="D56" s="28">
        <f t="shared" si="2"/>
        <v>65719.8909090909</v>
      </c>
      <c r="E56" s="1" t="s">
        <v>26</v>
      </c>
      <c r="F56" s="29">
        <v>10.507075000000002</v>
      </c>
      <c r="G56" s="30">
        <v>8.5380999999999929E-2</v>
      </c>
      <c r="H56" s="101">
        <f t="shared" si="1"/>
        <v>0.40843246563337887</v>
      </c>
    </row>
    <row r="57" spans="1:8">
      <c r="A57" s="1" t="s">
        <v>41</v>
      </c>
      <c r="B57" s="1" t="s">
        <v>42</v>
      </c>
      <c r="C57" s="27">
        <v>65.742528735632192</v>
      </c>
      <c r="D57" s="28">
        <f t="shared" si="2"/>
        <v>65742.528735632193</v>
      </c>
      <c r="E57" s="1" t="s">
        <v>26</v>
      </c>
      <c r="F57" s="29">
        <v>10.064075000000003</v>
      </c>
      <c r="G57" s="30">
        <v>-0.35761899999999969</v>
      </c>
      <c r="H57" s="101">
        <f t="shared" si="1"/>
        <v>-0.13015427633641877</v>
      </c>
    </row>
    <row r="58" spans="1:8">
      <c r="A58" s="1" t="s">
        <v>41</v>
      </c>
      <c r="B58" s="1" t="s">
        <v>42</v>
      </c>
      <c r="C58" s="27">
        <v>65.839080459770116</v>
      </c>
      <c r="D58" s="28">
        <f t="shared" si="2"/>
        <v>65839.080459770121</v>
      </c>
      <c r="E58" s="1" t="s">
        <v>26</v>
      </c>
      <c r="F58" s="29">
        <v>9.7543320000000033</v>
      </c>
      <c r="G58" s="30">
        <v>-0.6673619999999989</v>
      </c>
      <c r="H58" s="101">
        <f t="shared" si="1"/>
        <v>-0.5067309653159916</v>
      </c>
    </row>
    <row r="59" spans="1:8">
      <c r="A59" s="1" t="s">
        <v>41</v>
      </c>
      <c r="B59" s="1" t="s">
        <v>42</v>
      </c>
      <c r="C59" s="27">
        <v>65.839080459770116</v>
      </c>
      <c r="D59" s="28">
        <f t="shared" si="2"/>
        <v>65839.080459770121</v>
      </c>
      <c r="E59" s="1" t="s">
        <v>26</v>
      </c>
      <c r="F59" s="29">
        <v>9.5332670000000022</v>
      </c>
      <c r="G59" s="30">
        <v>-0.88842700000000008</v>
      </c>
      <c r="H59" s="101">
        <f t="shared" si="1"/>
        <v>-0.77549547573033484</v>
      </c>
    </row>
    <row r="60" spans="1:8">
      <c r="A60" s="1" t="s">
        <v>41</v>
      </c>
      <c r="B60" s="1" t="s">
        <v>42</v>
      </c>
      <c r="C60" s="27">
        <v>65.871264367816096</v>
      </c>
      <c r="D60" s="28">
        <f t="shared" si="2"/>
        <v>65871.264367816097</v>
      </c>
      <c r="E60" s="1" t="s">
        <v>26</v>
      </c>
      <c r="F60" s="29">
        <v>10.374112000000002</v>
      </c>
      <c r="G60" s="30">
        <v>-4.7582000000000235E-2</v>
      </c>
      <c r="H60" s="101">
        <f t="shared" si="1"/>
        <v>0.24677984944256545</v>
      </c>
    </row>
    <row r="61" spans="1:8">
      <c r="A61" s="1" t="s">
        <v>41</v>
      </c>
      <c r="B61" s="1" t="s">
        <v>42</v>
      </c>
      <c r="C61" s="27">
        <v>65.871264367816096</v>
      </c>
      <c r="D61" s="28">
        <f t="shared" si="2"/>
        <v>65871.264367816097</v>
      </c>
      <c r="E61" s="1" t="s">
        <v>26</v>
      </c>
      <c r="F61" s="29">
        <v>9.0915870000000023</v>
      </c>
      <c r="G61" s="30">
        <v>-1.3301069999999999</v>
      </c>
      <c r="H61" s="101">
        <f t="shared" si="1"/>
        <v>-1.3124773994170624</v>
      </c>
    </row>
    <row r="62" spans="1:8">
      <c r="A62" s="1" t="s">
        <v>41</v>
      </c>
      <c r="B62" s="1" t="s">
        <v>42</v>
      </c>
      <c r="C62" s="27">
        <v>65.890574712643684</v>
      </c>
      <c r="D62" s="28">
        <f t="shared" si="2"/>
        <v>65890.574712643691</v>
      </c>
      <c r="E62" s="1" t="s">
        <v>26</v>
      </c>
      <c r="F62" s="29">
        <v>9.6658880000000025</v>
      </c>
      <c r="G62" s="30">
        <v>-0.75580599999999976</v>
      </c>
      <c r="H62" s="101">
        <f t="shared" si="1"/>
        <v>-0.61425865336740759</v>
      </c>
    </row>
    <row r="63" spans="1:8">
      <c r="A63" s="1" t="s">
        <v>41</v>
      </c>
      <c r="B63" s="1" t="s">
        <v>42</v>
      </c>
      <c r="C63" s="27">
        <v>65.890574712643684</v>
      </c>
      <c r="D63" s="28">
        <f t="shared" si="2"/>
        <v>65890.574712643691</v>
      </c>
      <c r="E63" s="1" t="s">
        <v>26</v>
      </c>
      <c r="F63" s="29">
        <v>9.9312920000000009</v>
      </c>
      <c r="G63" s="30">
        <v>-0.49040200000000134</v>
      </c>
      <c r="H63" s="101">
        <f t="shared" si="1"/>
        <v>-0.29158805367045171</v>
      </c>
    </row>
    <row r="64" spans="1:8">
      <c r="A64" s="1" t="s">
        <v>41</v>
      </c>
      <c r="B64" s="1" t="s">
        <v>42</v>
      </c>
      <c r="C64" s="27">
        <v>65.916321839080453</v>
      </c>
      <c r="D64" s="28">
        <f t="shared" si="2"/>
        <v>65916.321839080454</v>
      </c>
      <c r="E64" s="1" t="s">
        <v>26</v>
      </c>
      <c r="F64" s="29">
        <v>10.374112000000002</v>
      </c>
      <c r="G64" s="30">
        <v>-4.7582000000000235E-2</v>
      </c>
      <c r="H64" s="101">
        <f t="shared" si="1"/>
        <v>0.24677984944256545</v>
      </c>
    </row>
    <row r="65" spans="1:8">
      <c r="A65" s="1" t="s">
        <v>41</v>
      </c>
      <c r="B65" s="1" t="s">
        <v>42</v>
      </c>
      <c r="C65" s="27">
        <v>65.935632183908041</v>
      </c>
      <c r="D65" s="28">
        <f t="shared" si="2"/>
        <v>65935.632183908034</v>
      </c>
      <c r="E65" s="1" t="s">
        <v>26</v>
      </c>
      <c r="F65" s="29">
        <v>10.507075000000002</v>
      </c>
      <c r="G65" s="30">
        <v>8.5380999999999929E-2</v>
      </c>
      <c r="H65" s="101">
        <f t="shared" si="1"/>
        <v>0.40843246563337887</v>
      </c>
    </row>
    <row r="66" spans="1:8">
      <c r="A66" s="1" t="s">
        <v>41</v>
      </c>
      <c r="B66" s="1" t="s">
        <v>42</v>
      </c>
      <c r="C66" s="27">
        <v>65.961379310344824</v>
      </c>
      <c r="D66" s="28">
        <f t="shared" si="2"/>
        <v>65961.379310344826</v>
      </c>
      <c r="E66" s="1" t="s">
        <v>26</v>
      </c>
      <c r="F66" s="29">
        <v>10.684443000000002</v>
      </c>
      <c r="G66" s="30">
        <v>0.26274899999999946</v>
      </c>
      <c r="H66" s="101">
        <f t="shared" si="1"/>
        <v>0.62407141202096106</v>
      </c>
    </row>
    <row r="67" spans="1:8">
      <c r="A67" s="1" t="s">
        <v>41</v>
      </c>
      <c r="B67" s="1" t="s">
        <v>42</v>
      </c>
      <c r="C67" s="27">
        <v>65.961379310344824</v>
      </c>
      <c r="D67" s="28">
        <f t="shared" si="2"/>
        <v>65961.379310344826</v>
      </c>
      <c r="E67" s="1" t="s">
        <v>26</v>
      </c>
      <c r="F67" s="29">
        <v>10.728800000000001</v>
      </c>
      <c r="G67" s="30">
        <v>0.30710599999999921</v>
      </c>
      <c r="H67" s="101">
        <f t="shared" ref="H67:H77" si="3">(F67-10.17112989)/0.822523032</f>
        <v>0.67799938518925496</v>
      </c>
    </row>
    <row r="68" spans="1:8">
      <c r="A68" s="1" t="s">
        <v>41</v>
      </c>
      <c r="B68" s="1" t="s">
        <v>42</v>
      </c>
      <c r="C68" s="27">
        <v>65.983908045977017</v>
      </c>
      <c r="D68" s="28">
        <f t="shared" si="2"/>
        <v>65983.908045977019</v>
      </c>
      <c r="E68" s="1" t="s">
        <v>26</v>
      </c>
      <c r="F68" s="29">
        <v>10.995068000000002</v>
      </c>
      <c r="G68" s="30">
        <v>0.57337399999999938</v>
      </c>
      <c r="H68" s="101">
        <f t="shared" si="3"/>
        <v>1.0017204113987681</v>
      </c>
    </row>
    <row r="69" spans="1:8">
      <c r="A69" s="1" t="s">
        <v>41</v>
      </c>
      <c r="B69" s="1" t="s">
        <v>42</v>
      </c>
      <c r="C69" s="27">
        <v>65.990344827586213</v>
      </c>
      <c r="D69" s="28">
        <f t="shared" si="2"/>
        <v>65990.344827586217</v>
      </c>
      <c r="E69" s="1" t="s">
        <v>26</v>
      </c>
      <c r="F69" s="29">
        <v>8.9592000000000027</v>
      </c>
      <c r="G69" s="30">
        <v>-1.4624939999999995</v>
      </c>
      <c r="H69" s="101">
        <f t="shared" si="3"/>
        <v>-1.4734297312661719</v>
      </c>
    </row>
    <row r="70" spans="1:8">
      <c r="A70" s="1" t="s">
        <v>41</v>
      </c>
      <c r="B70" s="1" t="s">
        <v>42</v>
      </c>
      <c r="C70" s="27">
        <v>66.046862619808309</v>
      </c>
      <c r="D70" s="28">
        <f t="shared" si="2"/>
        <v>66046.862619808307</v>
      </c>
      <c r="E70" s="1" t="s">
        <v>26</v>
      </c>
      <c r="F70" s="29">
        <v>11.884188000000002</v>
      </c>
      <c r="G70" s="30">
        <v>1.4624939999999995</v>
      </c>
      <c r="H70" s="101">
        <f t="shared" si="3"/>
        <v>2.0826871021892579</v>
      </c>
    </row>
    <row r="71" spans="1:8">
      <c r="A71" s="1" t="s">
        <v>41</v>
      </c>
      <c r="B71" s="1" t="s">
        <v>42</v>
      </c>
      <c r="C71" s="27">
        <v>66.062875399361033</v>
      </c>
      <c r="D71" s="28">
        <f t="shared" si="2"/>
        <v>66062.87539936103</v>
      </c>
      <c r="E71" s="1" t="s">
        <v>26</v>
      </c>
      <c r="F71" s="29">
        <v>10.995068000000002</v>
      </c>
      <c r="G71" s="30">
        <v>0.57337399999999938</v>
      </c>
      <c r="H71" s="101">
        <f t="shared" si="3"/>
        <v>1.0017204113987681</v>
      </c>
    </row>
    <row r="72" spans="1:8">
      <c r="A72" s="1" t="s">
        <v>41</v>
      </c>
      <c r="B72" s="1" t="s">
        <v>42</v>
      </c>
      <c r="C72" s="27">
        <v>66.072025559105441</v>
      </c>
      <c r="D72" s="28">
        <f t="shared" si="2"/>
        <v>66072.025559105445</v>
      </c>
      <c r="E72" s="1" t="s">
        <v>26</v>
      </c>
      <c r="F72" s="29">
        <v>10.152627000000003</v>
      </c>
      <c r="G72" s="30">
        <v>-0.26906699999999972</v>
      </c>
      <c r="H72" s="101">
        <f t="shared" si="3"/>
        <v>-2.2495284970934469E-2</v>
      </c>
    </row>
    <row r="73" spans="1:8">
      <c r="A73" s="1" t="s">
        <v>41</v>
      </c>
      <c r="B73" s="1" t="s">
        <v>42</v>
      </c>
      <c r="C73" s="27">
        <v>66.085750798722046</v>
      </c>
      <c r="D73" s="28">
        <f t="shared" si="2"/>
        <v>66085.750798722045</v>
      </c>
      <c r="E73" s="1" t="s">
        <v>26</v>
      </c>
      <c r="F73" s="29">
        <v>11.439328000000001</v>
      </c>
      <c r="G73" s="30">
        <v>1.0176339999999993</v>
      </c>
      <c r="H73" s="101">
        <f t="shared" si="3"/>
        <v>1.5418390253660421</v>
      </c>
    </row>
    <row r="74" spans="1:8">
      <c r="A74" s="1" t="s">
        <v>41</v>
      </c>
      <c r="B74" s="1" t="s">
        <v>42</v>
      </c>
      <c r="C74" s="27">
        <v>66.154376996805112</v>
      </c>
      <c r="D74" s="28">
        <f t="shared" si="2"/>
        <v>66154.376996805106</v>
      </c>
      <c r="E74" s="1" t="s">
        <v>26</v>
      </c>
      <c r="F74" s="29">
        <v>8.7827680000000026</v>
      </c>
      <c r="G74" s="30">
        <v>-1.6389259999999997</v>
      </c>
      <c r="H74" s="101">
        <f t="shared" si="3"/>
        <v>-1.6879307155984868</v>
      </c>
    </row>
    <row r="75" spans="1:8">
      <c r="A75" s="1" t="s">
        <v>41</v>
      </c>
      <c r="B75" s="1" t="s">
        <v>42</v>
      </c>
      <c r="C75" s="27">
        <v>66.154376996805112</v>
      </c>
      <c r="D75" s="28">
        <f t="shared" ref="D75:D77" si="4">C75*1000</f>
        <v>66154.376996805106</v>
      </c>
      <c r="E75" s="1" t="s">
        <v>26</v>
      </c>
      <c r="F75" s="29">
        <v>9.7101070000000025</v>
      </c>
      <c r="G75" s="30">
        <v>-0.71158699999999975</v>
      </c>
      <c r="H75" s="101">
        <f t="shared" si="3"/>
        <v>-0.56049845665597975</v>
      </c>
    </row>
    <row r="76" spans="1:8">
      <c r="A76" s="1" t="s">
        <v>41</v>
      </c>
      <c r="B76" s="1" t="s">
        <v>42</v>
      </c>
      <c r="C76" s="27">
        <v>66.172677316293928</v>
      </c>
      <c r="D76" s="28">
        <f t="shared" si="4"/>
        <v>66172.677316293935</v>
      </c>
      <c r="E76" s="1" t="s">
        <v>26</v>
      </c>
      <c r="F76" s="29">
        <v>12.463403</v>
      </c>
      <c r="G76" s="30">
        <v>2.0417089999999973</v>
      </c>
      <c r="H76" s="101">
        <f t="shared" si="3"/>
        <v>2.7868801490290669</v>
      </c>
    </row>
    <row r="77" spans="1:8">
      <c r="A77" s="1" t="s">
        <v>41</v>
      </c>
      <c r="B77" s="1" t="s">
        <v>42</v>
      </c>
      <c r="C77" s="27">
        <v>66.172677316293928</v>
      </c>
      <c r="D77" s="28">
        <f t="shared" si="4"/>
        <v>66172.677316293935</v>
      </c>
      <c r="E77" s="1" t="s">
        <v>26</v>
      </c>
      <c r="F77" s="29">
        <v>8.6945880000000031</v>
      </c>
      <c r="G77" s="30">
        <v>-1.7271059999999991</v>
      </c>
      <c r="H77" s="101">
        <f t="shared" si="3"/>
        <v>-1.7951374399932871</v>
      </c>
    </row>
    <row r="78" spans="1:8">
      <c r="D78" s="31"/>
      <c r="F78" s="47">
        <f>AVERAGE(F2:F77)</f>
        <v>10.171129894736838</v>
      </c>
    </row>
    <row r="79" spans="1:8">
      <c r="D79" s="31"/>
      <c r="F79" s="48">
        <f>STDEV(F2:F77)</f>
        <v>0.82252303226453283</v>
      </c>
    </row>
    <row r="80" spans="1:8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1"/>
    </row>
    <row r="88" spans="4:4">
      <c r="D88" s="31"/>
    </row>
    <row r="89" spans="4:4">
      <c r="D89" s="31"/>
    </row>
    <row r="90" spans="4:4">
      <c r="D90" s="31"/>
    </row>
    <row r="91" spans="4:4">
      <c r="D91" s="31"/>
    </row>
    <row r="92" spans="4:4">
      <c r="D92" s="31"/>
    </row>
    <row r="93" spans="4:4">
      <c r="D93" s="31"/>
    </row>
    <row r="94" spans="4:4">
      <c r="D94" s="31"/>
    </row>
    <row r="95" spans="4:4">
      <c r="D95" s="31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3"/>
    </row>
    <row r="230" spans="4:4">
      <c r="D230" s="33"/>
    </row>
    <row r="231" spans="4:4">
      <c r="D231" s="33"/>
    </row>
    <row r="232" spans="4:4">
      <c r="D232" s="33"/>
    </row>
    <row r="233" spans="4:4">
      <c r="D233" s="33"/>
    </row>
    <row r="234" spans="4:4">
      <c r="D234" s="33"/>
    </row>
    <row r="235" spans="4:4">
      <c r="D235" s="33"/>
    </row>
    <row r="236" spans="4:4">
      <c r="D236" s="33"/>
    </row>
    <row r="237" spans="4:4">
      <c r="D237" s="33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1"/>
    </row>
    <row r="245" spans="4:4">
      <c r="D245" s="31"/>
    </row>
    <row r="246" spans="4:4">
      <c r="D246" s="31"/>
    </row>
    <row r="247" spans="4:4">
      <c r="D247" s="31"/>
    </row>
    <row r="248" spans="4:4">
      <c r="D248" s="31"/>
    </row>
    <row r="249" spans="4:4">
      <c r="D249" s="31"/>
    </row>
    <row r="250" spans="4:4">
      <c r="D250" s="31"/>
    </row>
    <row r="251" spans="4:4">
      <c r="D251" s="31"/>
    </row>
    <row r="252" spans="4:4">
      <c r="D252" s="31"/>
    </row>
    <row r="253" spans="4:4">
      <c r="D253" s="31"/>
    </row>
    <row r="254" spans="4:4">
      <c r="D254" s="31"/>
    </row>
    <row r="255" spans="4:4">
      <c r="D255" s="31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3"/>
    </row>
    <row r="317" spans="4:4">
      <c r="D317" s="33"/>
    </row>
    <row r="318" spans="4:4">
      <c r="D318" s="33"/>
    </row>
    <row r="319" spans="4:4">
      <c r="D319" s="33"/>
    </row>
    <row r="320" spans="4:4">
      <c r="D320" s="33"/>
    </row>
    <row r="321" spans="4:4">
      <c r="D321" s="33"/>
    </row>
    <row r="322" spans="4:4">
      <c r="D322" s="33"/>
    </row>
    <row r="323" spans="4:4">
      <c r="D323" s="33"/>
    </row>
    <row r="324" spans="4:4">
      <c r="D324" s="33"/>
    </row>
    <row r="325" spans="4:4">
      <c r="D325" s="33"/>
    </row>
    <row r="326" spans="4:4">
      <c r="D326" s="33"/>
    </row>
    <row r="327" spans="4:4">
      <c r="D327" s="33"/>
    </row>
    <row r="328" spans="4:4">
      <c r="D328" s="33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19" spans="4:4">
      <c r="D919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7" spans="4:4">
      <c r="D927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4" spans="4:4">
      <c r="D984" s="39"/>
    </row>
    <row r="985" spans="4:4">
      <c r="D985" s="39"/>
    </row>
    <row r="986" spans="4:4">
      <c r="D986" s="39"/>
    </row>
    <row r="987" spans="4:4">
      <c r="D987" s="39"/>
    </row>
    <row r="988" spans="4:4">
      <c r="D988" s="39"/>
    </row>
    <row r="989" spans="4:4">
      <c r="D989" s="39"/>
    </row>
    <row r="990" spans="4:4">
      <c r="D990" s="39"/>
    </row>
    <row r="991" spans="4:4">
      <c r="D991" s="39"/>
    </row>
    <row r="992" spans="4:4">
      <c r="D992" s="39"/>
    </row>
    <row r="993" spans="4:4">
      <c r="D993" s="39"/>
    </row>
    <row r="994" spans="4:4">
      <c r="D994" s="39"/>
    </row>
    <row r="995" spans="4:4">
      <c r="D995" s="39"/>
    </row>
    <row r="996" spans="4:4">
      <c r="D996" s="39"/>
    </row>
    <row r="997" spans="4:4">
      <c r="D997" s="39"/>
    </row>
    <row r="998" spans="4:4">
      <c r="D998" s="39"/>
    </row>
    <row r="999" spans="4:4">
      <c r="D999" s="39"/>
    </row>
    <row r="1000" spans="4:4">
      <c r="D1000" s="39"/>
    </row>
    <row r="1001" spans="4:4">
      <c r="D1001" s="39"/>
    </row>
    <row r="1002" spans="4:4">
      <c r="D1002" s="39"/>
    </row>
    <row r="1003" spans="4:4">
      <c r="D1003" s="39"/>
    </row>
    <row r="1004" spans="4:4">
      <c r="D1004" s="39"/>
    </row>
    <row r="1005" spans="4:4">
      <c r="D1005" s="39"/>
    </row>
    <row r="1006" spans="4:4">
      <c r="D1006" s="39"/>
    </row>
    <row r="1007" spans="4:4">
      <c r="D1007" s="39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40" spans="4:4">
      <c r="D1340" s="31"/>
    </row>
    <row r="1341" spans="4:4">
      <c r="D1341" s="31"/>
    </row>
    <row r="1342" spans="4:4">
      <c r="D1342" s="31"/>
    </row>
    <row r="1343" spans="4:4">
      <c r="D1343" s="31"/>
    </row>
    <row r="1344" spans="4:4">
      <c r="D1344" s="31"/>
    </row>
    <row r="1345" spans="4:4">
      <c r="D1345" s="31"/>
    </row>
    <row r="1346" spans="4:4">
      <c r="D1346" s="31"/>
    </row>
    <row r="1347" spans="4:4">
      <c r="D1347" s="31"/>
    </row>
    <row r="1348" spans="4:4">
      <c r="D1348" s="31"/>
    </row>
    <row r="1349" spans="4:4">
      <c r="D1349" s="31"/>
    </row>
    <row r="1350" spans="4:4">
      <c r="D1350" s="31"/>
    </row>
    <row r="1351" spans="4:4">
      <c r="D1351" s="31"/>
    </row>
    <row r="1352" spans="4:4">
      <c r="D1352" s="31"/>
    </row>
    <row r="1353" spans="4:4">
      <c r="D1353" s="31"/>
    </row>
    <row r="1354" spans="4:4">
      <c r="D1354" s="31"/>
    </row>
    <row r="1355" spans="4:4">
      <c r="D1355" s="31"/>
    </row>
    <row r="1356" spans="4:4">
      <c r="D1356" s="31"/>
    </row>
    <row r="1357" spans="4:4">
      <c r="D1357" s="31"/>
    </row>
    <row r="1358" spans="4:4">
      <c r="D1358" s="31"/>
    </row>
    <row r="1359" spans="4:4">
      <c r="D1359" s="31"/>
    </row>
    <row r="1360" spans="4:4">
      <c r="D1360" s="31"/>
    </row>
    <row r="1361" spans="4:4">
      <c r="D1361" s="31"/>
    </row>
    <row r="1362" spans="4:4">
      <c r="D1362" s="31"/>
    </row>
    <row r="1363" spans="4:4">
      <c r="D1363" s="31"/>
    </row>
    <row r="1364" spans="4:4">
      <c r="D1364" s="31"/>
    </row>
    <row r="1365" spans="4:4">
      <c r="D1365" s="31"/>
    </row>
    <row r="1366" spans="4:4">
      <c r="D1366" s="31"/>
    </row>
    <row r="1367" spans="4:4">
      <c r="D1367" s="31"/>
    </row>
    <row r="1368" spans="4:4">
      <c r="D1368" s="31"/>
    </row>
    <row r="1369" spans="4:4">
      <c r="D1369" s="31"/>
    </row>
    <row r="1370" spans="4:4">
      <c r="D1370" s="31"/>
    </row>
    <row r="1371" spans="4:4">
      <c r="D1371" s="31"/>
    </row>
    <row r="1372" spans="4:4">
      <c r="D1372" s="31"/>
    </row>
    <row r="1373" spans="4:4">
      <c r="D1373" s="31"/>
    </row>
    <row r="1374" spans="4:4">
      <c r="D1374" s="31"/>
    </row>
    <row r="1375" spans="4:4">
      <c r="D1375" s="31"/>
    </row>
    <row r="1376" spans="4:4">
      <c r="D1376" s="31"/>
    </row>
    <row r="1377" spans="4:4">
      <c r="D1377" s="31"/>
    </row>
    <row r="1378" spans="4:4">
      <c r="D1378" s="31"/>
    </row>
    <row r="1379" spans="4:4">
      <c r="D1379" s="31"/>
    </row>
    <row r="1380" spans="4:4">
      <c r="D1380" s="31"/>
    </row>
    <row r="1381" spans="4:4">
      <c r="D1381" s="31"/>
    </row>
    <row r="1382" spans="4:4">
      <c r="D1382" s="31"/>
    </row>
    <row r="1383" spans="4:4">
      <c r="D1383" s="31"/>
    </row>
    <row r="1384" spans="4:4">
      <c r="D1384" s="31"/>
    </row>
    <row r="1385" spans="4:4">
      <c r="D1385" s="31"/>
    </row>
    <row r="1386" spans="4:4">
      <c r="D1386" s="31"/>
    </row>
    <row r="1387" spans="4:4">
      <c r="D1387" s="31"/>
    </row>
    <row r="1388" spans="4:4">
      <c r="D1388" s="31"/>
    </row>
    <row r="1389" spans="4:4">
      <c r="D1389" s="31"/>
    </row>
    <row r="1390" spans="4:4">
      <c r="D1390" s="31"/>
    </row>
    <row r="1391" spans="4:4">
      <c r="D1391" s="31"/>
    </row>
    <row r="1392" spans="4:4">
      <c r="D1392" s="31"/>
    </row>
    <row r="1393" spans="4:4">
      <c r="D1393" s="31"/>
    </row>
    <row r="1394" spans="4:4">
      <c r="D1394" s="31"/>
    </row>
    <row r="1395" spans="4:4">
      <c r="D1395" s="31"/>
    </row>
    <row r="1396" spans="4:4">
      <c r="D1396" s="31"/>
    </row>
    <row r="1397" spans="4:4">
      <c r="D1397" s="31"/>
    </row>
    <row r="1398" spans="4:4">
      <c r="D1398" s="31"/>
    </row>
    <row r="1399" spans="4:4">
      <c r="D1399" s="31"/>
    </row>
    <row r="1400" spans="4:4">
      <c r="D1400" s="31"/>
    </row>
    <row r="1401" spans="4:4">
      <c r="D1401" s="31"/>
    </row>
    <row r="1402" spans="4:4">
      <c r="D1402" s="31"/>
    </row>
    <row r="1403" spans="4:4">
      <c r="D1403" s="31"/>
    </row>
    <row r="1404" spans="4:4">
      <c r="D1404" s="31"/>
    </row>
    <row r="1405" spans="4:4">
      <c r="D1405" s="31"/>
    </row>
    <row r="1406" spans="4:4">
      <c r="D1406" s="31"/>
    </row>
    <row r="1407" spans="4:4">
      <c r="D1407" s="31"/>
    </row>
    <row r="1408" spans="4:4">
      <c r="D1408" s="31"/>
    </row>
    <row r="1409" spans="4:4">
      <c r="D1409" s="31"/>
    </row>
    <row r="1410" spans="4:4">
      <c r="D1410" s="31"/>
    </row>
    <row r="1411" spans="4:4">
      <c r="D1411" s="31"/>
    </row>
    <row r="1412" spans="4:4">
      <c r="D1412" s="31"/>
    </row>
    <row r="1413" spans="4:4">
      <c r="D1413" s="31"/>
    </row>
    <row r="1414" spans="4:4">
      <c r="D1414" s="31"/>
    </row>
    <row r="1415" spans="4:4">
      <c r="D1415" s="31"/>
    </row>
  </sheetData>
  <phoneticPr fontId="1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415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7" style="2" customWidth="1"/>
    <col min="2" max="2" width="10.3320312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0.83203125" style="2"/>
    <col min="10" max="10" width="11.83203125" style="89" customWidth="1"/>
    <col min="11" max="11" width="10.83203125" style="2"/>
    <col min="12" max="12" width="11.83203125" style="89" customWidth="1"/>
    <col min="13" max="13" width="10.83203125" style="2"/>
    <col min="14" max="14" width="15" style="89" customWidth="1"/>
    <col min="15" max="15" width="10.83203125" style="2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43</v>
      </c>
      <c r="B2" s="1" t="s">
        <v>44</v>
      </c>
      <c r="C2" s="32">
        <v>64.911791044776123</v>
      </c>
      <c r="D2" s="28">
        <f t="shared" ref="D2:D14" si="0">C2*1000</f>
        <v>64911.791044776124</v>
      </c>
      <c r="E2" s="1" t="s">
        <v>26</v>
      </c>
      <c r="F2" s="29">
        <v>11.248222670000002</v>
      </c>
      <c r="G2" s="30">
        <v>1.5887266950000001</v>
      </c>
      <c r="H2" s="101">
        <f>(F2-9.84810186)/0.927083015</f>
        <v>1.5102431900340687</v>
      </c>
      <c r="I2" s="3">
        <v>0.38059253498000001</v>
      </c>
      <c r="J2" s="88">
        <v>65000</v>
      </c>
      <c r="K2" s="3">
        <v>0.38059253498000001</v>
      </c>
      <c r="L2" s="88">
        <v>64950</v>
      </c>
      <c r="M2" s="3">
        <v>0.38059253498000001</v>
      </c>
      <c r="N2" s="88">
        <v>64900.000000000007</v>
      </c>
      <c r="O2" s="3">
        <v>0.38059253498000001</v>
      </c>
      <c r="P2" s="88">
        <v>64900.000000000007</v>
      </c>
    </row>
    <row r="3" spans="1:16">
      <c r="A3" s="1" t="s">
        <v>43</v>
      </c>
      <c r="B3" s="1" t="s">
        <v>44</v>
      </c>
      <c r="C3" s="32">
        <v>64.911791044776123</v>
      </c>
      <c r="D3" s="28">
        <f t="shared" si="0"/>
        <v>64911.791044776124</v>
      </c>
      <c r="E3" s="1" t="s">
        <v>26</v>
      </c>
      <c r="F3" s="29">
        <v>10.542540920000002</v>
      </c>
      <c r="G3" s="30">
        <v>0.88304494499999997</v>
      </c>
      <c r="H3" s="101">
        <f t="shared" ref="H3:H14" si="1">(F3-9.84810186)/0.927083015</f>
        <v>0.74905811967658831</v>
      </c>
      <c r="I3" s="3">
        <v>0.27977091659300002</v>
      </c>
      <c r="J3" s="88">
        <v>65200</v>
      </c>
      <c r="K3" s="3">
        <v>0.27977091659300002</v>
      </c>
      <c r="L3" s="88">
        <v>65250</v>
      </c>
      <c r="M3" s="3">
        <v>0.16972267032400001</v>
      </c>
      <c r="N3" s="88">
        <v>65200</v>
      </c>
      <c r="O3" s="3">
        <v>0.16972267032400001</v>
      </c>
      <c r="P3" s="88">
        <v>65200</v>
      </c>
    </row>
    <row r="4" spans="1:16">
      <c r="A4" s="1" t="s">
        <v>43</v>
      </c>
      <c r="B4" s="1" t="s">
        <v>44</v>
      </c>
      <c r="C4" s="32">
        <v>65.197462686567164</v>
      </c>
      <c r="D4" s="28">
        <f t="shared" si="0"/>
        <v>65197.462686567167</v>
      </c>
      <c r="E4" s="1" t="s">
        <v>26</v>
      </c>
      <c r="F4" s="29">
        <v>10.298790270000001</v>
      </c>
      <c r="G4" s="30">
        <v>0.63929429499999912</v>
      </c>
      <c r="H4" s="101">
        <f t="shared" si="1"/>
        <v>0.48613597995860325</v>
      </c>
      <c r="I4" s="3">
        <v>0.112154735081</v>
      </c>
      <c r="J4" s="88">
        <v>65400.000000000007</v>
      </c>
      <c r="K4" s="3">
        <v>2.38552531225E-2</v>
      </c>
      <c r="L4" s="88">
        <v>65400.000000000007</v>
      </c>
      <c r="M4" s="3">
        <v>0.13603673338200001</v>
      </c>
      <c r="N4" s="88">
        <v>65500</v>
      </c>
      <c r="O4" s="3">
        <v>0.11456423882900001</v>
      </c>
      <c r="P4" s="88">
        <v>65500</v>
      </c>
    </row>
    <row r="5" spans="1:16">
      <c r="A5" s="1" t="s">
        <v>43</v>
      </c>
      <c r="B5" s="1" t="s">
        <v>44</v>
      </c>
      <c r="C5" s="32">
        <v>65.223731343283575</v>
      </c>
      <c r="D5" s="28">
        <f t="shared" si="0"/>
        <v>65223.731343283573</v>
      </c>
      <c r="E5" s="1" t="s">
        <v>26</v>
      </c>
      <c r="F5" s="29">
        <v>10.613484280000003</v>
      </c>
      <c r="G5" s="30">
        <v>0.95398830500000109</v>
      </c>
      <c r="H5" s="101">
        <f t="shared" si="1"/>
        <v>0.82558132078388191</v>
      </c>
      <c r="I5" s="3">
        <v>0.78658301664499997</v>
      </c>
      <c r="J5" s="88">
        <v>66200</v>
      </c>
      <c r="K5" s="3">
        <v>0.11456423882900001</v>
      </c>
      <c r="L5" s="88">
        <v>65550</v>
      </c>
      <c r="M5" s="3">
        <v>0.78658301664499997</v>
      </c>
      <c r="N5" s="88">
        <v>66200</v>
      </c>
      <c r="O5" s="3">
        <v>0.235591960323</v>
      </c>
      <c r="P5" s="88">
        <v>66400</v>
      </c>
    </row>
    <row r="6" spans="1:16">
      <c r="A6" s="1" t="s">
        <v>43</v>
      </c>
      <c r="B6" s="1" t="s">
        <v>44</v>
      </c>
      <c r="C6" s="32">
        <v>65.286119402985079</v>
      </c>
      <c r="D6" s="28">
        <f t="shared" si="0"/>
        <v>65286.119402985081</v>
      </c>
      <c r="E6" s="1" t="s">
        <v>26</v>
      </c>
      <c r="F6" s="29">
        <v>10.817532000000002</v>
      </c>
      <c r="G6" s="30">
        <v>1.1580360249999995</v>
      </c>
      <c r="H6" s="101">
        <f t="shared" si="1"/>
        <v>1.0456778134372378</v>
      </c>
      <c r="I6" s="3">
        <v>0.235591960323</v>
      </c>
      <c r="J6" s="88">
        <v>66400</v>
      </c>
      <c r="K6" s="3">
        <v>0.78658301664499997</v>
      </c>
      <c r="L6" s="88">
        <v>66150</v>
      </c>
      <c r="M6" s="3">
        <v>0.235591960323</v>
      </c>
      <c r="N6" s="88">
        <v>66400</v>
      </c>
    </row>
    <row r="7" spans="1:16">
      <c r="A7" s="1" t="s">
        <v>43</v>
      </c>
      <c r="B7" s="1" t="s">
        <v>44</v>
      </c>
      <c r="C7" s="32">
        <v>65.402686567164181</v>
      </c>
      <c r="D7" s="28">
        <f t="shared" si="0"/>
        <v>65402.686567164179</v>
      </c>
      <c r="E7" s="1" t="s">
        <v>26</v>
      </c>
      <c r="F7" s="29">
        <v>9.7587548300000027</v>
      </c>
      <c r="G7" s="30">
        <v>9.9258855000000423E-2</v>
      </c>
      <c r="H7" s="101">
        <f t="shared" si="1"/>
        <v>-9.6374357586517981E-2</v>
      </c>
      <c r="K7" s="3">
        <v>0.235591960323</v>
      </c>
      <c r="L7" s="88">
        <v>66450</v>
      </c>
    </row>
    <row r="8" spans="1:16">
      <c r="A8" s="1" t="s">
        <v>43</v>
      </c>
      <c r="B8" s="1" t="s">
        <v>44</v>
      </c>
      <c r="C8" s="32">
        <v>65.47</v>
      </c>
      <c r="D8" s="28">
        <f t="shared" si="0"/>
        <v>65470</v>
      </c>
      <c r="E8" s="1" t="s">
        <v>26</v>
      </c>
      <c r="F8" s="29">
        <v>9.8029864300000025</v>
      </c>
      <c r="G8" s="30">
        <v>0.14349045500000024</v>
      </c>
      <c r="H8" s="101">
        <f t="shared" si="1"/>
        <v>-4.8663851316483674E-2</v>
      </c>
    </row>
    <row r="9" spans="1:16">
      <c r="A9" s="1" t="s">
        <v>43</v>
      </c>
      <c r="B9" s="1" t="s">
        <v>44</v>
      </c>
      <c r="C9" s="32">
        <v>65.499552238805975</v>
      </c>
      <c r="D9" s="28">
        <f t="shared" si="0"/>
        <v>65499.552238805976</v>
      </c>
      <c r="E9" s="1" t="s">
        <v>26</v>
      </c>
      <c r="F9" s="29">
        <v>9.8428000000000022</v>
      </c>
      <c r="G9" s="30">
        <v>0.18330402499999998</v>
      </c>
      <c r="H9" s="101">
        <f t="shared" si="1"/>
        <v>-5.7188621884067849E-3</v>
      </c>
    </row>
    <row r="10" spans="1:16">
      <c r="A10" s="1" t="s">
        <v>43</v>
      </c>
      <c r="B10" s="1" t="s">
        <v>44</v>
      </c>
      <c r="C10" s="32">
        <v>65.499552238805975</v>
      </c>
      <c r="D10" s="28">
        <f t="shared" si="0"/>
        <v>65499.552238805976</v>
      </c>
      <c r="E10" s="1" t="s">
        <v>26</v>
      </c>
      <c r="F10" s="29">
        <v>10.055221120000002</v>
      </c>
      <c r="G10" s="30">
        <v>0.39572514500000011</v>
      </c>
      <c r="H10" s="101">
        <f t="shared" si="1"/>
        <v>0.22340961558874259</v>
      </c>
    </row>
    <row r="11" spans="1:16">
      <c r="A11" s="1" t="s">
        <v>43</v>
      </c>
      <c r="B11" s="1" t="s">
        <v>44</v>
      </c>
      <c r="C11" s="32">
        <v>66.154696428571427</v>
      </c>
      <c r="D11" s="28">
        <f t="shared" si="0"/>
        <v>66154.69642857142</v>
      </c>
      <c r="E11" s="1" t="s">
        <v>26</v>
      </c>
      <c r="F11" s="29">
        <v>9.2637708300000021</v>
      </c>
      <c r="G11" s="30">
        <v>-0.39572514500000011</v>
      </c>
      <c r="H11" s="101">
        <f t="shared" si="1"/>
        <v>-0.63028986676020349</v>
      </c>
    </row>
    <row r="12" spans="1:16">
      <c r="A12" s="1" t="s">
        <v>43</v>
      </c>
      <c r="B12" s="1" t="s">
        <v>44</v>
      </c>
      <c r="C12" s="32">
        <v>66.212732142857135</v>
      </c>
      <c r="D12" s="28">
        <f t="shared" si="0"/>
        <v>66212.73214285713</v>
      </c>
      <c r="E12" s="1" t="s">
        <v>26</v>
      </c>
      <c r="F12" s="29">
        <v>7.8053153200000027</v>
      </c>
      <c r="G12" s="30">
        <v>-1.8541806549999995</v>
      </c>
      <c r="H12" s="101">
        <f t="shared" si="1"/>
        <v>-2.2034559008720453</v>
      </c>
    </row>
    <row r="13" spans="1:16">
      <c r="A13" s="1" t="s">
        <v>43</v>
      </c>
      <c r="B13" s="1" t="s">
        <v>44</v>
      </c>
      <c r="C13" s="32">
        <v>66.401649635036492</v>
      </c>
      <c r="D13" s="28">
        <f t="shared" si="0"/>
        <v>66401.649635036491</v>
      </c>
      <c r="E13" s="1" t="s">
        <v>26</v>
      </c>
      <c r="F13" s="29">
        <v>9.2063660800000005</v>
      </c>
      <c r="G13" s="30">
        <v>-0.45312989500000178</v>
      </c>
      <c r="H13" s="101">
        <f t="shared" si="1"/>
        <v>-0.69220961835871775</v>
      </c>
    </row>
    <row r="14" spans="1:16">
      <c r="A14" s="1" t="s">
        <v>43</v>
      </c>
      <c r="B14" s="1" t="s">
        <v>44</v>
      </c>
      <c r="C14" s="32">
        <v>66.401649635036492</v>
      </c>
      <c r="D14" s="28">
        <f t="shared" si="0"/>
        <v>66401.649635036491</v>
      </c>
      <c r="E14" s="1" t="s">
        <v>26</v>
      </c>
      <c r="F14" s="29">
        <v>8.7695394700000016</v>
      </c>
      <c r="G14" s="30">
        <v>-0.88995650500000067</v>
      </c>
      <c r="H14" s="101">
        <f t="shared" si="1"/>
        <v>-1.1633935392506336</v>
      </c>
    </row>
    <row r="15" spans="1:16">
      <c r="D15" s="31"/>
      <c r="F15" s="47">
        <f>AVERAGE(F2:F14)</f>
        <v>9.8481018630769235</v>
      </c>
    </row>
    <row r="16" spans="1:16">
      <c r="D16" s="31"/>
      <c r="F16" s="48">
        <f>STDEV(F2:F14)</f>
        <v>0.92708301548457217</v>
      </c>
    </row>
    <row r="17" spans="4:4">
      <c r="D17" s="31"/>
    </row>
    <row r="18" spans="4:4">
      <c r="D18" s="31"/>
    </row>
    <row r="19" spans="4:4">
      <c r="D19" s="31"/>
    </row>
    <row r="20" spans="4:4">
      <c r="D20" s="31"/>
    </row>
    <row r="21" spans="4:4">
      <c r="D21" s="31"/>
    </row>
    <row r="22" spans="4:4">
      <c r="D22" s="31"/>
    </row>
    <row r="23" spans="4:4">
      <c r="D23" s="31"/>
    </row>
    <row r="24" spans="4:4">
      <c r="D24" s="31"/>
    </row>
    <row r="25" spans="4:4">
      <c r="D25" s="31"/>
    </row>
    <row r="26" spans="4:4">
      <c r="D26" s="31"/>
    </row>
    <row r="27" spans="4:4">
      <c r="D27" s="31"/>
    </row>
    <row r="28" spans="4:4">
      <c r="D28" s="31"/>
    </row>
    <row r="29" spans="4:4">
      <c r="D29" s="31"/>
    </row>
    <row r="30" spans="4:4">
      <c r="D30" s="31"/>
    </row>
    <row r="31" spans="4:4">
      <c r="D31" s="31"/>
    </row>
    <row r="32" spans="4:4">
      <c r="D32" s="31"/>
    </row>
    <row r="33" spans="4:4">
      <c r="D33" s="31"/>
    </row>
    <row r="34" spans="4:4">
      <c r="D34" s="31"/>
    </row>
    <row r="35" spans="4:4">
      <c r="D35" s="31"/>
    </row>
    <row r="36" spans="4:4">
      <c r="D36" s="31"/>
    </row>
    <row r="37" spans="4:4">
      <c r="D37" s="31"/>
    </row>
    <row r="38" spans="4:4">
      <c r="D38" s="31"/>
    </row>
    <row r="39" spans="4:4">
      <c r="D39" s="31"/>
    </row>
    <row r="40" spans="4:4">
      <c r="D40" s="31"/>
    </row>
    <row r="41" spans="4:4">
      <c r="D41" s="31"/>
    </row>
    <row r="42" spans="4:4">
      <c r="D42" s="31"/>
    </row>
    <row r="43" spans="4:4">
      <c r="D43" s="31"/>
    </row>
    <row r="44" spans="4:4">
      <c r="D44" s="31"/>
    </row>
    <row r="45" spans="4:4">
      <c r="D45" s="31"/>
    </row>
    <row r="46" spans="4:4">
      <c r="D46" s="31"/>
    </row>
    <row r="47" spans="4:4">
      <c r="D47" s="31"/>
    </row>
    <row r="48" spans="4:4">
      <c r="D48" s="31"/>
    </row>
    <row r="49" spans="4:4">
      <c r="D49" s="31"/>
    </row>
    <row r="50" spans="4:4">
      <c r="D50" s="31"/>
    </row>
    <row r="51" spans="4:4">
      <c r="D51" s="31"/>
    </row>
    <row r="52" spans="4:4">
      <c r="D52" s="31"/>
    </row>
    <row r="53" spans="4:4">
      <c r="D53" s="31"/>
    </row>
    <row r="54" spans="4:4">
      <c r="D54" s="31"/>
    </row>
    <row r="55" spans="4:4">
      <c r="D55" s="31"/>
    </row>
    <row r="56" spans="4:4">
      <c r="D56" s="31"/>
    </row>
    <row r="57" spans="4:4">
      <c r="D57" s="31"/>
    </row>
    <row r="58" spans="4:4">
      <c r="D58" s="31"/>
    </row>
    <row r="59" spans="4:4">
      <c r="D59" s="31"/>
    </row>
    <row r="60" spans="4:4">
      <c r="D60" s="31"/>
    </row>
    <row r="61" spans="4:4">
      <c r="D61" s="31"/>
    </row>
    <row r="62" spans="4:4">
      <c r="D62" s="31"/>
    </row>
    <row r="63" spans="4:4">
      <c r="D63" s="31"/>
    </row>
    <row r="64" spans="4:4">
      <c r="D64" s="31"/>
    </row>
    <row r="65" spans="4:4">
      <c r="D65" s="31"/>
    </row>
    <row r="66" spans="4:4">
      <c r="D66" s="31"/>
    </row>
    <row r="67" spans="4:4">
      <c r="D67" s="31"/>
    </row>
    <row r="68" spans="4:4">
      <c r="D68" s="31"/>
    </row>
    <row r="69" spans="4:4">
      <c r="D69" s="31"/>
    </row>
    <row r="70" spans="4:4">
      <c r="D70" s="31"/>
    </row>
    <row r="71" spans="4:4">
      <c r="D71" s="31"/>
    </row>
    <row r="72" spans="4:4">
      <c r="D72" s="31"/>
    </row>
    <row r="73" spans="4:4">
      <c r="D73" s="31"/>
    </row>
    <row r="74" spans="4:4">
      <c r="D74" s="31"/>
    </row>
    <row r="75" spans="4:4">
      <c r="D75" s="31"/>
    </row>
    <row r="76" spans="4:4">
      <c r="D76" s="31"/>
    </row>
    <row r="77" spans="4:4">
      <c r="D77" s="31"/>
    </row>
    <row r="78" spans="4:4">
      <c r="D78" s="31"/>
    </row>
    <row r="79" spans="4:4">
      <c r="D79" s="31"/>
    </row>
    <row r="80" spans="4:4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1"/>
    </row>
    <row r="88" spans="4:4">
      <c r="D88" s="31"/>
    </row>
    <row r="89" spans="4:4">
      <c r="D89" s="31"/>
    </row>
    <row r="90" spans="4:4">
      <c r="D90" s="31"/>
    </row>
    <row r="91" spans="4:4">
      <c r="D91" s="31"/>
    </row>
    <row r="92" spans="4:4">
      <c r="D92" s="31"/>
    </row>
    <row r="93" spans="4:4">
      <c r="D93" s="31"/>
    </row>
    <row r="94" spans="4:4">
      <c r="D94" s="31"/>
    </row>
    <row r="95" spans="4:4">
      <c r="D95" s="31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3"/>
    </row>
    <row r="230" spans="4:4">
      <c r="D230" s="33"/>
    </row>
    <row r="231" spans="4:4">
      <c r="D231" s="33"/>
    </row>
    <row r="232" spans="4:4">
      <c r="D232" s="33"/>
    </row>
    <row r="233" spans="4:4">
      <c r="D233" s="33"/>
    </row>
    <row r="234" spans="4:4">
      <c r="D234" s="33"/>
    </row>
    <row r="235" spans="4:4">
      <c r="D235" s="33"/>
    </row>
    <row r="236" spans="4:4">
      <c r="D236" s="33"/>
    </row>
    <row r="237" spans="4:4">
      <c r="D237" s="33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1"/>
    </row>
    <row r="245" spans="4:4">
      <c r="D245" s="31"/>
    </row>
    <row r="246" spans="4:4">
      <c r="D246" s="31"/>
    </row>
    <row r="247" spans="4:4">
      <c r="D247" s="31"/>
    </row>
    <row r="248" spans="4:4">
      <c r="D248" s="31"/>
    </row>
    <row r="249" spans="4:4">
      <c r="D249" s="31"/>
    </row>
    <row r="250" spans="4:4">
      <c r="D250" s="31"/>
    </row>
    <row r="251" spans="4:4">
      <c r="D251" s="31"/>
    </row>
    <row r="252" spans="4:4">
      <c r="D252" s="31"/>
    </row>
    <row r="253" spans="4:4">
      <c r="D253" s="31"/>
    </row>
    <row r="254" spans="4:4">
      <c r="D254" s="31"/>
    </row>
    <row r="255" spans="4:4">
      <c r="D255" s="31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3"/>
    </row>
    <row r="317" spans="4:4">
      <c r="D317" s="33"/>
    </row>
    <row r="318" spans="4:4">
      <c r="D318" s="33"/>
    </row>
    <row r="319" spans="4:4">
      <c r="D319" s="33"/>
    </row>
    <row r="320" spans="4:4">
      <c r="D320" s="33"/>
    </row>
    <row r="321" spans="4:4">
      <c r="D321" s="33"/>
    </row>
    <row r="322" spans="4:4">
      <c r="D322" s="33"/>
    </row>
    <row r="323" spans="4:4">
      <c r="D323" s="33"/>
    </row>
    <row r="324" spans="4:4">
      <c r="D324" s="33"/>
    </row>
    <row r="325" spans="4:4">
      <c r="D325" s="33"/>
    </row>
    <row r="326" spans="4:4">
      <c r="D326" s="33"/>
    </row>
    <row r="327" spans="4:4">
      <c r="D327" s="33"/>
    </row>
    <row r="328" spans="4:4">
      <c r="D328" s="33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19" spans="4:4">
      <c r="D919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7" spans="4:4">
      <c r="D927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4" spans="4:4">
      <c r="D984" s="39"/>
    </row>
    <row r="985" spans="4:4">
      <c r="D985" s="39"/>
    </row>
    <row r="986" spans="4:4">
      <c r="D986" s="39"/>
    </row>
    <row r="987" spans="4:4">
      <c r="D987" s="39"/>
    </row>
    <row r="988" spans="4:4">
      <c r="D988" s="39"/>
    </row>
    <row r="989" spans="4:4">
      <c r="D989" s="39"/>
    </row>
    <row r="990" spans="4:4">
      <c r="D990" s="39"/>
    </row>
    <row r="991" spans="4:4">
      <c r="D991" s="39"/>
    </row>
    <row r="992" spans="4:4">
      <c r="D992" s="39"/>
    </row>
    <row r="993" spans="4:4">
      <c r="D993" s="39"/>
    </row>
    <row r="994" spans="4:4">
      <c r="D994" s="39"/>
    </row>
    <row r="995" spans="4:4">
      <c r="D995" s="39"/>
    </row>
    <row r="996" spans="4:4">
      <c r="D996" s="39"/>
    </row>
    <row r="997" spans="4:4">
      <c r="D997" s="39"/>
    </row>
    <row r="998" spans="4:4">
      <c r="D998" s="39"/>
    </row>
    <row r="999" spans="4:4">
      <c r="D999" s="39"/>
    </row>
    <row r="1000" spans="4:4">
      <c r="D1000" s="39"/>
    </row>
    <row r="1001" spans="4:4">
      <c r="D1001" s="39"/>
    </row>
    <row r="1002" spans="4:4">
      <c r="D1002" s="39"/>
    </row>
    <row r="1003" spans="4:4">
      <c r="D1003" s="39"/>
    </row>
    <row r="1004" spans="4:4">
      <c r="D1004" s="39"/>
    </row>
    <row r="1005" spans="4:4">
      <c r="D1005" s="39"/>
    </row>
    <row r="1006" spans="4:4">
      <c r="D1006" s="39"/>
    </row>
    <row r="1007" spans="4:4">
      <c r="D1007" s="39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40" spans="4:4">
      <c r="D1340" s="31"/>
    </row>
    <row r="1341" spans="4:4">
      <c r="D1341" s="31"/>
    </row>
    <row r="1342" spans="4:4">
      <c r="D1342" s="31"/>
    </row>
    <row r="1343" spans="4:4">
      <c r="D1343" s="31"/>
    </row>
    <row r="1344" spans="4:4">
      <c r="D1344" s="31"/>
    </row>
    <row r="1345" spans="4:4">
      <c r="D1345" s="31"/>
    </row>
    <row r="1346" spans="4:4">
      <c r="D1346" s="31"/>
    </row>
    <row r="1347" spans="4:4">
      <c r="D1347" s="31"/>
    </row>
    <row r="1348" spans="4:4">
      <c r="D1348" s="31"/>
    </row>
    <row r="1349" spans="4:4">
      <c r="D1349" s="31"/>
    </row>
    <row r="1350" spans="4:4">
      <c r="D1350" s="31"/>
    </row>
    <row r="1351" spans="4:4">
      <c r="D1351" s="31"/>
    </row>
    <row r="1352" spans="4:4">
      <c r="D1352" s="31"/>
    </row>
    <row r="1353" spans="4:4">
      <c r="D1353" s="31"/>
    </row>
    <row r="1354" spans="4:4">
      <c r="D1354" s="31"/>
    </row>
    <row r="1355" spans="4:4">
      <c r="D1355" s="31"/>
    </row>
    <row r="1356" spans="4:4">
      <c r="D1356" s="31"/>
    </row>
    <row r="1357" spans="4:4">
      <c r="D1357" s="31"/>
    </row>
    <row r="1358" spans="4:4">
      <c r="D1358" s="31"/>
    </row>
    <row r="1359" spans="4:4">
      <c r="D1359" s="31"/>
    </row>
    <row r="1360" spans="4:4">
      <c r="D1360" s="31"/>
    </row>
    <row r="1361" spans="4:4">
      <c r="D1361" s="31"/>
    </row>
    <row r="1362" spans="4:4">
      <c r="D1362" s="31"/>
    </row>
    <row r="1363" spans="4:4">
      <c r="D1363" s="31"/>
    </row>
    <row r="1364" spans="4:4">
      <c r="D1364" s="31"/>
    </row>
    <row r="1365" spans="4:4">
      <c r="D1365" s="31"/>
    </row>
    <row r="1366" spans="4:4">
      <c r="D1366" s="31"/>
    </row>
    <row r="1367" spans="4:4">
      <c r="D1367" s="31"/>
    </row>
    <row r="1368" spans="4:4">
      <c r="D1368" s="31"/>
    </row>
    <row r="1369" spans="4:4">
      <c r="D1369" s="31"/>
    </row>
    <row r="1370" spans="4:4">
      <c r="D1370" s="31"/>
    </row>
    <row r="1371" spans="4:4">
      <c r="D1371" s="31"/>
    </row>
    <row r="1372" spans="4:4">
      <c r="D1372" s="31"/>
    </row>
    <row r="1373" spans="4:4">
      <c r="D1373" s="31"/>
    </row>
    <row r="1374" spans="4:4">
      <c r="D1374" s="31"/>
    </row>
    <row r="1375" spans="4:4">
      <c r="D1375" s="31"/>
    </row>
    <row r="1376" spans="4:4">
      <c r="D1376" s="31"/>
    </row>
    <row r="1377" spans="4:4">
      <c r="D1377" s="31"/>
    </row>
    <row r="1378" spans="4:4">
      <c r="D1378" s="31"/>
    </row>
    <row r="1379" spans="4:4">
      <c r="D1379" s="31"/>
    </row>
    <row r="1380" spans="4:4">
      <c r="D1380" s="31"/>
    </row>
    <row r="1381" spans="4:4">
      <c r="D1381" s="31"/>
    </row>
    <row r="1382" spans="4:4">
      <c r="D1382" s="31"/>
    </row>
    <row r="1383" spans="4:4">
      <c r="D1383" s="31"/>
    </row>
    <row r="1384" spans="4:4">
      <c r="D1384" s="31"/>
    </row>
    <row r="1385" spans="4:4">
      <c r="D1385" s="31"/>
    </row>
    <row r="1386" spans="4:4">
      <c r="D1386" s="31"/>
    </row>
    <row r="1387" spans="4:4">
      <c r="D1387" s="31"/>
    </row>
    <row r="1388" spans="4:4">
      <c r="D1388" s="31"/>
    </row>
    <row r="1389" spans="4:4">
      <c r="D1389" s="31"/>
    </row>
    <row r="1390" spans="4:4">
      <c r="D1390" s="31"/>
    </row>
    <row r="1391" spans="4:4">
      <c r="D1391" s="31"/>
    </row>
    <row r="1392" spans="4:4">
      <c r="D1392" s="31"/>
    </row>
    <row r="1393" spans="4:4">
      <c r="D1393" s="31"/>
    </row>
    <row r="1394" spans="4:4">
      <c r="D1394" s="31"/>
    </row>
    <row r="1395" spans="4:4">
      <c r="D1395" s="31"/>
    </row>
    <row r="1396" spans="4:4">
      <c r="D1396" s="31"/>
    </row>
    <row r="1397" spans="4:4">
      <c r="D1397" s="31"/>
    </row>
    <row r="1398" spans="4:4">
      <c r="D1398" s="31"/>
    </row>
    <row r="1399" spans="4:4">
      <c r="D1399" s="31"/>
    </row>
    <row r="1400" spans="4:4">
      <c r="D1400" s="31"/>
    </row>
    <row r="1401" spans="4:4">
      <c r="D1401" s="31"/>
    </row>
    <row r="1402" spans="4:4">
      <c r="D1402" s="31"/>
    </row>
    <row r="1403" spans="4:4">
      <c r="D1403" s="31"/>
    </row>
    <row r="1404" spans="4:4">
      <c r="D1404" s="31"/>
    </row>
    <row r="1405" spans="4:4">
      <c r="D1405" s="31"/>
    </row>
    <row r="1406" spans="4:4">
      <c r="D1406" s="31"/>
    </row>
    <row r="1407" spans="4:4">
      <c r="D1407" s="31"/>
    </row>
    <row r="1408" spans="4:4">
      <c r="D1408" s="31"/>
    </row>
    <row r="1409" spans="4:4">
      <c r="D1409" s="31"/>
    </row>
    <row r="1410" spans="4:4">
      <c r="D1410" s="31"/>
    </row>
    <row r="1411" spans="4:4">
      <c r="D1411" s="31"/>
    </row>
    <row r="1412" spans="4:4">
      <c r="D1412" s="31"/>
    </row>
    <row r="1413" spans="4:4">
      <c r="D1413" s="31"/>
    </row>
    <row r="1414" spans="4:4">
      <c r="D1414" s="31"/>
    </row>
    <row r="1415" spans="4:4">
      <c r="D1415" s="31"/>
    </row>
  </sheetData>
  <phoneticPr fontId="1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42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19.1640625" style="2" customWidth="1"/>
    <col min="2" max="2" width="10.3320312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0.83203125" style="2"/>
    <col min="10" max="10" width="10.83203125" style="89"/>
    <col min="11" max="11" width="10.83203125" style="2"/>
    <col min="12" max="12" width="10.83203125" style="89"/>
    <col min="13" max="13" width="10.83203125" style="2"/>
    <col min="14" max="14" width="15.1640625" style="89" customWidth="1"/>
    <col min="15" max="15" width="10.83203125" style="2"/>
    <col min="16" max="16" width="15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45</v>
      </c>
      <c r="B2" s="1" t="s">
        <v>46</v>
      </c>
      <c r="C2" s="34">
        <v>66.040241652421656</v>
      </c>
      <c r="D2" s="28">
        <f t="shared" ref="D2:D33" si="0">C2*1000</f>
        <v>66040.241652421653</v>
      </c>
      <c r="E2" s="1" t="s">
        <v>26</v>
      </c>
      <c r="F2" s="49">
        <v>10.113010446343701</v>
      </c>
      <c r="G2" s="35">
        <v>0</v>
      </c>
      <c r="H2" s="101">
        <f t="shared" ref="H2:H68" si="1">(F2-11.39378429)/1.158496486</f>
        <v>-1.1055483198559297</v>
      </c>
      <c r="I2" s="3">
        <v>0.54375501296999995</v>
      </c>
      <c r="J2" s="88">
        <v>66000</v>
      </c>
      <c r="K2" s="3">
        <v>0.61865889011899999</v>
      </c>
      <c r="L2" s="88">
        <v>66000</v>
      </c>
      <c r="M2" s="3">
        <v>0.63327078188599994</v>
      </c>
      <c r="N2" s="88">
        <v>66000</v>
      </c>
      <c r="O2" s="3">
        <v>0.61865889011899999</v>
      </c>
      <c r="P2" s="88">
        <v>66050</v>
      </c>
    </row>
    <row r="3" spans="1:16">
      <c r="A3" s="1" t="s">
        <v>45</v>
      </c>
      <c r="B3" s="1" t="s">
        <v>46</v>
      </c>
      <c r="C3" s="34">
        <v>66.048312393162348</v>
      </c>
      <c r="D3" s="28">
        <f t="shared" si="0"/>
        <v>66048.312393162341</v>
      </c>
      <c r="E3" s="1" t="s">
        <v>26</v>
      </c>
      <c r="F3" s="49">
        <v>11.580294396960999</v>
      </c>
      <c r="G3" s="35">
        <v>1.4672839506172988</v>
      </c>
      <c r="H3" s="101">
        <f t="shared" si="1"/>
        <v>0.16099324358330444</v>
      </c>
      <c r="I3" s="3">
        <v>0.53992272158099996</v>
      </c>
      <c r="J3" s="88">
        <v>66200</v>
      </c>
      <c r="K3" s="3">
        <v>0.776418136712</v>
      </c>
      <c r="L3" s="88">
        <v>66150</v>
      </c>
      <c r="M3" s="3">
        <v>1.2846168632599999</v>
      </c>
      <c r="N3" s="88">
        <v>66100</v>
      </c>
      <c r="O3" s="3">
        <v>1.1096020586499999</v>
      </c>
      <c r="P3" s="88">
        <v>66100</v>
      </c>
    </row>
    <row r="4" spans="1:16">
      <c r="A4" s="1" t="s">
        <v>45</v>
      </c>
      <c r="B4" s="1" t="s">
        <v>46</v>
      </c>
      <c r="C4" s="34">
        <v>66.053279002848967</v>
      </c>
      <c r="D4" s="28">
        <f t="shared" si="0"/>
        <v>66053.279002848969</v>
      </c>
      <c r="E4" s="1" t="s">
        <v>26</v>
      </c>
      <c r="F4" s="49">
        <v>10.630674264007499</v>
      </c>
      <c r="G4" s="35">
        <v>0.51766381766379865</v>
      </c>
      <c r="H4" s="101">
        <f t="shared" si="1"/>
        <v>-0.65870724271881809</v>
      </c>
      <c r="I4" s="3">
        <v>0.55680939593699996</v>
      </c>
      <c r="J4" s="88">
        <v>66400</v>
      </c>
      <c r="K4" s="3">
        <v>1.3494584138300001</v>
      </c>
      <c r="L4" s="88">
        <v>66300</v>
      </c>
      <c r="M4" s="3">
        <v>0.50668220482699999</v>
      </c>
      <c r="N4" s="88">
        <v>66200</v>
      </c>
      <c r="O4" s="3">
        <v>0.27410105523200001</v>
      </c>
      <c r="P4" s="88">
        <v>66150</v>
      </c>
    </row>
    <row r="5" spans="1:16">
      <c r="A5" s="1" t="s">
        <v>45</v>
      </c>
      <c r="B5" s="1" t="s">
        <v>46</v>
      </c>
      <c r="C5" s="34">
        <v>66.060108091168075</v>
      </c>
      <c r="D5" s="28">
        <f t="shared" si="0"/>
        <v>66060.108091168076</v>
      </c>
      <c r="E5" s="1" t="s">
        <v>26</v>
      </c>
      <c r="F5" s="49">
        <v>10.7811965811965</v>
      </c>
      <c r="G5" s="35">
        <v>0.66818613485279954</v>
      </c>
      <c r="H5" s="101">
        <f t="shared" si="1"/>
        <v>-0.52877821918874512</v>
      </c>
      <c r="K5" s="3">
        <v>0.282523898873</v>
      </c>
      <c r="L5" s="88">
        <v>66450</v>
      </c>
      <c r="M5" s="3">
        <v>0.38609823406100002</v>
      </c>
      <c r="N5" s="88">
        <v>66300</v>
      </c>
      <c r="O5" s="3">
        <v>0.71354396568699996</v>
      </c>
      <c r="P5" s="88">
        <v>66200</v>
      </c>
    </row>
    <row r="6" spans="1:16">
      <c r="A6" s="1" t="s">
        <v>45</v>
      </c>
      <c r="B6" s="1" t="s">
        <v>46</v>
      </c>
      <c r="C6" s="34">
        <v>66.066937179487184</v>
      </c>
      <c r="D6" s="28">
        <f t="shared" si="0"/>
        <v>66066.937179487184</v>
      </c>
      <c r="E6" s="1" t="s">
        <v>26</v>
      </c>
      <c r="F6" s="49">
        <v>10.665052231718899</v>
      </c>
      <c r="G6" s="35">
        <v>0.55204178537519866</v>
      </c>
      <c r="H6" s="101">
        <f t="shared" si="1"/>
        <v>-0.62903260138253014</v>
      </c>
      <c r="M6" s="3">
        <v>0.288395297178</v>
      </c>
      <c r="N6" s="88">
        <v>66400</v>
      </c>
      <c r="O6" s="3">
        <v>0.22872836466900001</v>
      </c>
      <c r="P6" s="88">
        <v>66250</v>
      </c>
    </row>
    <row r="7" spans="1:16">
      <c r="A7" s="1" t="s">
        <v>45</v>
      </c>
      <c r="B7" s="1" t="s">
        <v>46</v>
      </c>
      <c r="C7" s="34">
        <v>66.068178831908838</v>
      </c>
      <c r="D7" s="28">
        <f t="shared" si="0"/>
        <v>66068.178831908837</v>
      </c>
      <c r="E7" s="1" t="s">
        <v>26</v>
      </c>
      <c r="F7" s="49">
        <v>12.0318138651472</v>
      </c>
      <c r="G7" s="35">
        <v>1.918803418803499</v>
      </c>
      <c r="H7" s="101">
        <f t="shared" si="1"/>
        <v>0.55073932709986695</v>
      </c>
      <c r="M7" s="3">
        <v>0.44598034870699998</v>
      </c>
      <c r="N7" s="88">
        <v>66500</v>
      </c>
      <c r="O7" s="3">
        <v>0.177965873917</v>
      </c>
      <c r="P7" s="88">
        <v>66300</v>
      </c>
    </row>
    <row r="8" spans="1:16">
      <c r="A8" s="1" t="s">
        <v>45</v>
      </c>
      <c r="B8" s="1" t="s">
        <v>46</v>
      </c>
      <c r="C8" s="34">
        <v>66.073145441595443</v>
      </c>
      <c r="D8" s="28">
        <f t="shared" si="0"/>
        <v>66073.145441595436</v>
      </c>
      <c r="E8" s="1" t="s">
        <v>26</v>
      </c>
      <c r="F8" s="49">
        <v>11.1488603988603</v>
      </c>
      <c r="G8" s="35">
        <v>1.0358499525165996</v>
      </c>
      <c r="H8" s="101">
        <f t="shared" si="1"/>
        <v>-0.21141530777133399</v>
      </c>
      <c r="O8" s="3">
        <v>0.38620070174600002</v>
      </c>
      <c r="P8" s="88">
        <v>66350</v>
      </c>
    </row>
    <row r="9" spans="1:16">
      <c r="A9" s="1" t="s">
        <v>45</v>
      </c>
      <c r="B9" s="1" t="s">
        <v>46</v>
      </c>
      <c r="C9" s="34">
        <v>66.079974529914494</v>
      </c>
      <c r="D9" s="28">
        <f t="shared" si="0"/>
        <v>66079.9745299145</v>
      </c>
      <c r="E9" s="1" t="s">
        <v>26</v>
      </c>
      <c r="F9" s="49">
        <v>10.8327160493827</v>
      </c>
      <c r="G9" s="35">
        <v>0.71970560303899944</v>
      </c>
      <c r="H9" s="101">
        <f t="shared" si="1"/>
        <v>-0.48430724425805388</v>
      </c>
      <c r="O9" s="3">
        <v>0.29156154861900002</v>
      </c>
      <c r="P9" s="88">
        <v>66400</v>
      </c>
    </row>
    <row r="10" spans="1:16">
      <c r="A10" s="1" t="s">
        <v>45</v>
      </c>
      <c r="B10" s="1" t="s">
        <v>46</v>
      </c>
      <c r="C10" s="34">
        <v>66.088045270655257</v>
      </c>
      <c r="D10" s="28">
        <f t="shared" si="0"/>
        <v>66088.045270655261</v>
      </c>
      <c r="E10" s="1" t="s">
        <v>26</v>
      </c>
      <c r="F10" s="49">
        <v>11.3666666666666</v>
      </c>
      <c r="G10" s="35">
        <v>1.2536562203228989</v>
      </c>
      <c r="H10" s="101">
        <f t="shared" si="1"/>
        <v>-2.3407600852575761E-2</v>
      </c>
      <c r="O10" s="3">
        <v>0.37355618951500003</v>
      </c>
      <c r="P10" s="88">
        <v>66450</v>
      </c>
    </row>
    <row r="11" spans="1:16">
      <c r="A11" s="1" t="s">
        <v>45</v>
      </c>
      <c r="B11" s="1" t="s">
        <v>46</v>
      </c>
      <c r="C11" s="34">
        <v>66.096116011395964</v>
      </c>
      <c r="D11" s="28">
        <f t="shared" si="0"/>
        <v>66096.116011395963</v>
      </c>
      <c r="E11" s="1" t="s">
        <v>26</v>
      </c>
      <c r="F11" s="49">
        <v>10.733950617283901</v>
      </c>
      <c r="G11" s="35">
        <v>0.62094017094019982</v>
      </c>
      <c r="H11" s="101">
        <f t="shared" si="1"/>
        <v>-0.56956035748916267</v>
      </c>
      <c r="O11" s="3">
        <v>0.14363919971</v>
      </c>
      <c r="P11" s="88">
        <v>66500</v>
      </c>
    </row>
    <row r="12" spans="1:16">
      <c r="A12" s="1" t="s">
        <v>45</v>
      </c>
      <c r="B12" s="1" t="s">
        <v>46</v>
      </c>
      <c r="C12" s="34">
        <v>66.101703447293431</v>
      </c>
      <c r="D12" s="28">
        <f t="shared" si="0"/>
        <v>66101.703447293432</v>
      </c>
      <c r="E12" s="1" t="s">
        <v>26</v>
      </c>
      <c r="F12" s="49">
        <v>11.617711301044601</v>
      </c>
      <c r="G12" s="35">
        <v>1.5047008547009</v>
      </c>
      <c r="H12" s="101">
        <f t="shared" si="1"/>
        <v>0.19329105763433577</v>
      </c>
    </row>
    <row r="13" spans="1:16">
      <c r="A13" s="1" t="s">
        <v>45</v>
      </c>
      <c r="B13" s="1" t="s">
        <v>46</v>
      </c>
      <c r="C13" s="34">
        <v>66.105428404558367</v>
      </c>
      <c r="D13" s="28">
        <f t="shared" si="0"/>
        <v>66105.428404558363</v>
      </c>
      <c r="E13" s="1" t="s">
        <v>26</v>
      </c>
      <c r="F13" s="49">
        <v>10.2513295346628</v>
      </c>
      <c r="G13" s="35">
        <v>0.13831908831909878</v>
      </c>
      <c r="H13" s="101">
        <f t="shared" si="1"/>
        <v>-0.98615297425874093</v>
      </c>
    </row>
    <row r="14" spans="1:16">
      <c r="A14" s="1" t="s">
        <v>45</v>
      </c>
      <c r="B14" s="1" t="s">
        <v>46</v>
      </c>
      <c r="C14" s="34">
        <v>66.107911709401677</v>
      </c>
      <c r="D14" s="28">
        <f t="shared" si="0"/>
        <v>66107.911709401684</v>
      </c>
      <c r="E14" s="1" t="s">
        <v>26</v>
      </c>
      <c r="F14" s="49">
        <v>12.034852801519399</v>
      </c>
      <c r="G14" s="35">
        <v>1.9218423551756985</v>
      </c>
      <c r="H14" s="101">
        <f t="shared" si="1"/>
        <v>0.55336249981460883</v>
      </c>
    </row>
    <row r="15" spans="1:16">
      <c r="A15" s="1" t="s">
        <v>45</v>
      </c>
      <c r="B15" s="1" t="s">
        <v>46</v>
      </c>
      <c r="C15" s="34">
        <v>66.115361623931577</v>
      </c>
      <c r="D15" s="28">
        <f t="shared" si="0"/>
        <v>66115.361623931574</v>
      </c>
      <c r="E15" s="1" t="s">
        <v>26</v>
      </c>
      <c r="F15" s="49">
        <v>12.2854226020892</v>
      </c>
      <c r="G15" s="35">
        <v>2.1724121557454996</v>
      </c>
      <c r="H15" s="101">
        <f t="shared" si="1"/>
        <v>0.76965128756480417</v>
      </c>
    </row>
    <row r="16" spans="1:16">
      <c r="A16" s="1" t="s">
        <v>45</v>
      </c>
      <c r="B16" s="1" t="s">
        <v>46</v>
      </c>
      <c r="C16" s="34">
        <v>66.124053190883131</v>
      </c>
      <c r="D16" s="28">
        <f t="shared" si="0"/>
        <v>66124.053190883133</v>
      </c>
      <c r="E16" s="1" t="s">
        <v>26</v>
      </c>
      <c r="F16" s="49">
        <v>12.269420702753999</v>
      </c>
      <c r="G16" s="35">
        <v>2.1564102564102985</v>
      </c>
      <c r="H16" s="101">
        <f t="shared" si="1"/>
        <v>0.75583864373844978</v>
      </c>
    </row>
    <row r="17" spans="1:8">
      <c r="A17" s="1" t="s">
        <v>45</v>
      </c>
      <c r="B17" s="1" t="s">
        <v>46</v>
      </c>
      <c r="C17" s="34">
        <v>66.130261452991448</v>
      </c>
      <c r="D17" s="28">
        <f t="shared" si="0"/>
        <v>66130.261452991443</v>
      </c>
      <c r="E17" s="1" t="s">
        <v>26</v>
      </c>
      <c r="F17" s="49">
        <v>12.3198955365622</v>
      </c>
      <c r="G17" s="35">
        <v>2.2068850902184991</v>
      </c>
      <c r="H17" s="101">
        <f t="shared" si="1"/>
        <v>0.79940790304840037</v>
      </c>
    </row>
    <row r="18" spans="1:8">
      <c r="A18" s="1" t="s">
        <v>45</v>
      </c>
      <c r="B18" s="1" t="s">
        <v>46</v>
      </c>
      <c r="C18" s="34">
        <v>66.138332193732168</v>
      </c>
      <c r="D18" s="28">
        <f t="shared" si="0"/>
        <v>66138.332193732174</v>
      </c>
      <c r="E18" s="1" t="s">
        <v>26</v>
      </c>
      <c r="F18" s="49">
        <v>11.787179487179399</v>
      </c>
      <c r="G18" s="35">
        <v>1.6741690408356984</v>
      </c>
      <c r="H18" s="101">
        <f t="shared" si="1"/>
        <v>0.33957392355819355</v>
      </c>
    </row>
    <row r="19" spans="1:8">
      <c r="A19" s="1" t="s">
        <v>45</v>
      </c>
      <c r="B19" s="1" t="s">
        <v>46</v>
      </c>
      <c r="C19" s="34">
        <v>66.140815498575463</v>
      </c>
      <c r="D19" s="28">
        <f t="shared" si="0"/>
        <v>66140.815498575466</v>
      </c>
      <c r="E19" s="1" t="s">
        <v>26</v>
      </c>
      <c r="F19" s="49">
        <v>12.320702754036001</v>
      </c>
      <c r="G19" s="35">
        <v>2.2076923076922998</v>
      </c>
      <c r="H19" s="101">
        <f t="shared" si="1"/>
        <v>0.80010468330069784</v>
      </c>
    </row>
    <row r="20" spans="1:8">
      <c r="A20" s="1" t="s">
        <v>45</v>
      </c>
      <c r="B20" s="1" t="s">
        <v>46</v>
      </c>
      <c r="C20" s="34">
        <v>66.147644586894572</v>
      </c>
      <c r="D20" s="28">
        <f t="shared" si="0"/>
        <v>66147.644586894574</v>
      </c>
      <c r="E20" s="1" t="s">
        <v>26</v>
      </c>
      <c r="F20" s="49">
        <v>12.771225071225</v>
      </c>
      <c r="G20" s="35">
        <v>2.6582146248812997</v>
      </c>
      <c r="H20" s="101">
        <f t="shared" si="1"/>
        <v>1.1889900382701732</v>
      </c>
    </row>
    <row r="21" spans="1:8">
      <c r="A21" s="1" t="s">
        <v>45</v>
      </c>
      <c r="B21" s="1" t="s">
        <v>46</v>
      </c>
      <c r="C21" s="34">
        <v>66.156336153846127</v>
      </c>
      <c r="D21" s="28">
        <f t="shared" si="0"/>
        <v>66156.336153846132</v>
      </c>
      <c r="E21" s="1" t="s">
        <v>26</v>
      </c>
      <c r="F21" s="49">
        <v>12.271889838556501</v>
      </c>
      <c r="G21" s="35">
        <v>2.1588793922127998</v>
      </c>
      <c r="H21" s="101">
        <f t="shared" si="1"/>
        <v>0.7579699715692545</v>
      </c>
    </row>
    <row r="22" spans="1:8">
      <c r="A22" s="1" t="s">
        <v>45</v>
      </c>
      <c r="B22" s="1" t="s">
        <v>46</v>
      </c>
      <c r="C22" s="34">
        <v>66.161923589743594</v>
      </c>
      <c r="D22" s="28">
        <f t="shared" si="0"/>
        <v>66161.923589743601</v>
      </c>
      <c r="E22" s="1" t="s">
        <v>26</v>
      </c>
      <c r="F22" s="49">
        <v>12.4556505223171</v>
      </c>
      <c r="G22" s="35">
        <v>2.3426400759733994</v>
      </c>
      <c r="H22" s="101">
        <f t="shared" si="1"/>
        <v>0.91658994666739191</v>
      </c>
    </row>
    <row r="23" spans="1:8">
      <c r="A23" s="1" t="s">
        <v>45</v>
      </c>
      <c r="B23" s="1" t="s">
        <v>46</v>
      </c>
      <c r="C23" s="34">
        <v>66.168752678062646</v>
      </c>
      <c r="D23" s="28">
        <f t="shared" si="0"/>
        <v>66168.75267806265</v>
      </c>
      <c r="E23" s="1" t="s">
        <v>26</v>
      </c>
      <c r="F23" s="49">
        <v>12.8228395061728</v>
      </c>
      <c r="G23" s="35">
        <v>2.7098290598290991</v>
      </c>
      <c r="H23" s="101">
        <f t="shared" si="1"/>
        <v>1.2335429873481727</v>
      </c>
    </row>
    <row r="24" spans="1:8">
      <c r="A24" s="1" t="s">
        <v>45</v>
      </c>
      <c r="B24" s="1" t="s">
        <v>46</v>
      </c>
      <c r="C24" s="34">
        <v>66.175581766381754</v>
      </c>
      <c r="D24" s="28">
        <f t="shared" si="0"/>
        <v>66175.581766381758</v>
      </c>
      <c r="E24" s="1" t="s">
        <v>26</v>
      </c>
      <c r="F24" s="49">
        <v>11.9233618233618</v>
      </c>
      <c r="G24" s="35">
        <v>1.8103513770180992</v>
      </c>
      <c r="H24" s="101">
        <f t="shared" si="1"/>
        <v>0.45712485084033366</v>
      </c>
    </row>
    <row r="25" spans="1:8">
      <c r="A25" s="1" t="s">
        <v>45</v>
      </c>
      <c r="B25" s="1" t="s">
        <v>46</v>
      </c>
      <c r="C25" s="34">
        <v>66.176823418803409</v>
      </c>
      <c r="D25" s="28">
        <f t="shared" si="0"/>
        <v>66176.823418803411</v>
      </c>
      <c r="E25" s="1" t="s">
        <v>26</v>
      </c>
      <c r="F25" s="49">
        <v>12.1234567901234</v>
      </c>
      <c r="G25" s="35">
        <v>2.0104463437796998</v>
      </c>
      <c r="H25" s="101">
        <f t="shared" si="1"/>
        <v>0.62984437928057835</v>
      </c>
    </row>
    <row r="26" spans="1:8">
      <c r="A26" s="1" t="s">
        <v>45</v>
      </c>
      <c r="B26" s="1" t="s">
        <v>46</v>
      </c>
      <c r="C26" s="34">
        <v>66.18365250712246</v>
      </c>
      <c r="D26" s="28">
        <f t="shared" si="0"/>
        <v>66183.652507122461</v>
      </c>
      <c r="E26" s="1" t="s">
        <v>26</v>
      </c>
      <c r="F26" s="49">
        <v>12.123979107312399</v>
      </c>
      <c r="G26" s="35">
        <v>2.0109686609686985</v>
      </c>
      <c r="H26" s="101">
        <f t="shared" si="1"/>
        <v>0.63029523709094792</v>
      </c>
    </row>
    <row r="27" spans="1:8">
      <c r="A27" s="1" t="s">
        <v>45</v>
      </c>
      <c r="B27" s="1" t="s">
        <v>46</v>
      </c>
      <c r="C27" s="34">
        <v>66.187377464387424</v>
      </c>
      <c r="D27" s="28">
        <f t="shared" si="0"/>
        <v>66187.37746438742</v>
      </c>
      <c r="E27" s="1" t="s">
        <v>26</v>
      </c>
      <c r="F27" s="49">
        <v>13.207597340930599</v>
      </c>
      <c r="G27" s="35">
        <v>3.0945868945868984</v>
      </c>
      <c r="H27" s="101">
        <f t="shared" si="1"/>
        <v>1.5656612452863321</v>
      </c>
    </row>
    <row r="28" spans="1:8">
      <c r="A28" s="1" t="s">
        <v>45</v>
      </c>
      <c r="B28" s="1" t="s">
        <v>46</v>
      </c>
      <c r="C28" s="34">
        <v>66.195448205128173</v>
      </c>
      <c r="D28" s="28">
        <f t="shared" si="0"/>
        <v>66195.448205128167</v>
      </c>
      <c r="E28" s="1" t="s">
        <v>26</v>
      </c>
      <c r="F28" s="49">
        <v>12.858214624881199</v>
      </c>
      <c r="G28" s="35">
        <v>2.7452041785374988</v>
      </c>
      <c r="H28" s="101">
        <f t="shared" si="1"/>
        <v>1.2640783572313747</v>
      </c>
    </row>
    <row r="29" spans="1:8">
      <c r="A29" s="1" t="s">
        <v>45</v>
      </c>
      <c r="B29" s="1" t="s">
        <v>46</v>
      </c>
      <c r="C29" s="34">
        <v>66.201656467236432</v>
      </c>
      <c r="D29" s="28">
        <f t="shared" si="0"/>
        <v>66201.656467236433</v>
      </c>
      <c r="E29" s="1" t="s">
        <v>26</v>
      </c>
      <c r="F29" s="49">
        <v>12.9753561253561</v>
      </c>
      <c r="G29" s="35">
        <v>2.8623456790123996</v>
      </c>
      <c r="H29" s="101">
        <f t="shared" si="1"/>
        <v>1.3651934679723328</v>
      </c>
    </row>
    <row r="30" spans="1:8">
      <c r="A30" s="1" t="s">
        <v>45</v>
      </c>
      <c r="B30" s="1" t="s">
        <v>46</v>
      </c>
      <c r="C30" s="34">
        <v>66.209727207977195</v>
      </c>
      <c r="D30" s="28">
        <f t="shared" si="0"/>
        <v>66209.727207977194</v>
      </c>
      <c r="E30" s="1" t="s">
        <v>26</v>
      </c>
      <c r="F30" s="49">
        <v>13.0426400759734</v>
      </c>
      <c r="G30" s="35">
        <v>2.9296296296296997</v>
      </c>
      <c r="H30" s="101">
        <f t="shared" si="1"/>
        <v>1.4232721513610196</v>
      </c>
    </row>
    <row r="31" spans="1:8">
      <c r="A31" s="1" t="s">
        <v>45</v>
      </c>
      <c r="B31" s="1" t="s">
        <v>46</v>
      </c>
      <c r="C31" s="34">
        <v>66.214072991452952</v>
      </c>
      <c r="D31" s="28">
        <f t="shared" si="0"/>
        <v>66214.072991452951</v>
      </c>
      <c r="E31" s="1" t="s">
        <v>26</v>
      </c>
      <c r="F31" s="49">
        <v>13.1096391263057</v>
      </c>
      <c r="G31" s="35">
        <v>2.996628679961999</v>
      </c>
      <c r="H31" s="101">
        <f t="shared" si="1"/>
        <v>1.4811049123076068</v>
      </c>
    </row>
    <row r="32" spans="1:8">
      <c r="A32" s="1" t="s">
        <v>45</v>
      </c>
      <c r="B32" s="1" t="s">
        <v>46</v>
      </c>
      <c r="C32" s="34">
        <v>66.215314643874592</v>
      </c>
      <c r="D32" s="28">
        <f t="shared" si="0"/>
        <v>66215.31464387459</v>
      </c>
      <c r="E32" s="1" t="s">
        <v>26</v>
      </c>
      <c r="F32" s="49">
        <v>12.693067426400701</v>
      </c>
      <c r="G32" s="35">
        <v>2.5800569800569999</v>
      </c>
      <c r="H32" s="101">
        <f t="shared" si="1"/>
        <v>1.121525315011358</v>
      </c>
    </row>
    <row r="33" spans="1:8">
      <c r="A33" s="1" t="s">
        <v>45</v>
      </c>
      <c r="B33" s="1" t="s">
        <v>46</v>
      </c>
      <c r="C33" s="34">
        <v>66.223385384615369</v>
      </c>
      <c r="D33" s="28">
        <f t="shared" si="0"/>
        <v>66223.385384615365</v>
      </c>
      <c r="E33" s="1" t="s">
        <v>26</v>
      </c>
      <c r="F33" s="49">
        <v>13.1436847103513</v>
      </c>
      <c r="G33" s="35">
        <v>3.0306742640075992</v>
      </c>
      <c r="H33" s="101">
        <f t="shared" si="1"/>
        <v>1.5104926441281417</v>
      </c>
    </row>
    <row r="34" spans="1:8">
      <c r="A34" s="1" t="s">
        <v>45</v>
      </c>
      <c r="B34" s="1" t="s">
        <v>46</v>
      </c>
      <c r="C34" s="34">
        <v>66.229593646723629</v>
      </c>
      <c r="D34" s="28">
        <f t="shared" ref="D34:D65" si="2">C34*1000</f>
        <v>66229.593646723632</v>
      </c>
      <c r="E34" s="1" t="s">
        <v>26</v>
      </c>
      <c r="F34" s="49">
        <v>12.910826210826199</v>
      </c>
      <c r="G34" s="35">
        <v>2.7978157644824986</v>
      </c>
      <c r="H34" s="101">
        <f t="shared" si="1"/>
        <v>1.3094920348564614</v>
      </c>
    </row>
    <row r="35" spans="1:8">
      <c r="A35" s="1" t="s">
        <v>45</v>
      </c>
      <c r="B35" s="1" t="s">
        <v>46</v>
      </c>
      <c r="C35" s="34">
        <v>66.235181082621082</v>
      </c>
      <c r="D35" s="28">
        <f t="shared" si="2"/>
        <v>66235.181082621086</v>
      </c>
      <c r="E35" s="1" t="s">
        <v>26</v>
      </c>
      <c r="F35" s="49">
        <v>13.244586894586799</v>
      </c>
      <c r="G35" s="35">
        <v>3.1315764482430986</v>
      </c>
      <c r="H35" s="101">
        <f t="shared" si="1"/>
        <v>1.5975901756743007</v>
      </c>
    </row>
    <row r="36" spans="1:8">
      <c r="A36" s="1" t="s">
        <v>45</v>
      </c>
      <c r="B36" s="1" t="s">
        <v>46</v>
      </c>
      <c r="C36" s="34">
        <v>66.240147692307687</v>
      </c>
      <c r="D36" s="28">
        <f t="shared" si="2"/>
        <v>66240.147692307684</v>
      </c>
      <c r="E36" s="1" t="s">
        <v>26</v>
      </c>
      <c r="F36" s="49">
        <v>12.7949667616334</v>
      </c>
      <c r="G36" s="35">
        <v>2.6819563152896997</v>
      </c>
      <c r="H36" s="101">
        <f t="shared" si="1"/>
        <v>1.2094835751046042</v>
      </c>
    </row>
    <row r="37" spans="1:8">
      <c r="A37" s="1" t="s">
        <v>45</v>
      </c>
      <c r="B37" s="1" t="s">
        <v>46</v>
      </c>
      <c r="C37" s="34">
        <v>66.249460085470034</v>
      </c>
      <c r="D37" s="28">
        <f t="shared" si="2"/>
        <v>66249.46008547004</v>
      </c>
      <c r="E37" s="1" t="s">
        <v>26</v>
      </c>
      <c r="F37" s="49">
        <v>12.479012345678999</v>
      </c>
      <c r="G37" s="35">
        <v>2.3660018993352985</v>
      </c>
      <c r="H37" s="101">
        <f t="shared" si="1"/>
        <v>0.93675558691250094</v>
      </c>
    </row>
    <row r="38" spans="1:8">
      <c r="A38" s="1" t="s">
        <v>45</v>
      </c>
      <c r="B38" s="1" t="s">
        <v>46</v>
      </c>
      <c r="C38" s="34">
        <v>66.256289173789156</v>
      </c>
      <c r="D38" s="28">
        <f t="shared" si="2"/>
        <v>66256.289173789162</v>
      </c>
      <c r="E38" s="1" t="s">
        <v>26</v>
      </c>
      <c r="F38" s="49">
        <v>12.779534662867899</v>
      </c>
      <c r="G38" s="35">
        <v>2.6665242165241985</v>
      </c>
      <c r="H38" s="101">
        <f t="shared" si="1"/>
        <v>1.1961627761621885</v>
      </c>
    </row>
    <row r="39" spans="1:8">
      <c r="A39" s="1" t="s">
        <v>45</v>
      </c>
      <c r="B39" s="1" t="s">
        <v>46</v>
      </c>
      <c r="C39" s="34">
        <v>66.264359914529905</v>
      </c>
      <c r="D39" s="28">
        <f t="shared" si="2"/>
        <v>66264.359914529909</v>
      </c>
      <c r="E39" s="1" t="s">
        <v>26</v>
      </c>
      <c r="F39" s="49">
        <v>12.696818613485201</v>
      </c>
      <c r="G39" s="35">
        <v>2.5838081671415001</v>
      </c>
      <c r="H39" s="101">
        <f t="shared" si="1"/>
        <v>1.1247632938311749</v>
      </c>
    </row>
    <row r="40" spans="1:8">
      <c r="A40" s="1" t="s">
        <v>45</v>
      </c>
      <c r="B40" s="1" t="s">
        <v>46</v>
      </c>
      <c r="C40" s="34">
        <v>66.271189002848956</v>
      </c>
      <c r="D40" s="28">
        <f t="shared" si="2"/>
        <v>66271.189002848958</v>
      </c>
      <c r="E40" s="1" t="s">
        <v>26</v>
      </c>
      <c r="F40" s="49">
        <v>12.1973409306742</v>
      </c>
      <c r="G40" s="35">
        <v>2.0843304843304988</v>
      </c>
      <c r="H40" s="101">
        <f t="shared" si="1"/>
        <v>0.69362026590920567</v>
      </c>
    </row>
    <row r="41" spans="1:8">
      <c r="A41" s="1" t="s">
        <v>45</v>
      </c>
      <c r="B41" s="1" t="s">
        <v>46</v>
      </c>
      <c r="C41" s="34">
        <v>66.277397264957216</v>
      </c>
      <c r="D41" s="28">
        <f t="shared" si="2"/>
        <v>66277.39726495721</v>
      </c>
      <c r="E41" s="1" t="s">
        <v>26</v>
      </c>
      <c r="F41" s="49">
        <v>12.197815764482399</v>
      </c>
      <c r="G41" s="35">
        <v>2.0848053181386987</v>
      </c>
      <c r="H41" s="101">
        <f t="shared" si="1"/>
        <v>0.69403013664592172</v>
      </c>
    </row>
    <row r="42" spans="1:8">
      <c r="A42" s="1" t="s">
        <v>45</v>
      </c>
      <c r="B42" s="1" t="s">
        <v>46</v>
      </c>
      <c r="C42" s="34">
        <v>66.286088831908785</v>
      </c>
      <c r="D42" s="28">
        <f t="shared" si="2"/>
        <v>66286.088831908783</v>
      </c>
      <c r="E42" s="1" t="s">
        <v>26</v>
      </c>
      <c r="F42" s="49">
        <v>12.1984805318138</v>
      </c>
      <c r="G42" s="35">
        <v>2.0854700854700994</v>
      </c>
      <c r="H42" s="101">
        <f t="shared" si="1"/>
        <v>0.69460395567725597</v>
      </c>
    </row>
    <row r="43" spans="1:8">
      <c r="A43" s="1" t="s">
        <v>45</v>
      </c>
      <c r="B43" s="1" t="s">
        <v>46</v>
      </c>
      <c r="C43" s="34">
        <v>66.292297094017101</v>
      </c>
      <c r="D43" s="28">
        <f t="shared" si="2"/>
        <v>66292.297094017107</v>
      </c>
      <c r="E43" s="1" t="s">
        <v>26</v>
      </c>
      <c r="F43" s="49">
        <v>12.482288698955299</v>
      </c>
      <c r="G43" s="35">
        <v>2.3692782526115987</v>
      </c>
      <c r="H43" s="101">
        <f t="shared" si="1"/>
        <v>0.93958369499560157</v>
      </c>
    </row>
    <row r="44" spans="1:8">
      <c r="A44" s="1" t="s">
        <v>45</v>
      </c>
      <c r="B44" s="1" t="s">
        <v>46</v>
      </c>
      <c r="C44" s="34">
        <v>66.298505356125361</v>
      </c>
      <c r="D44" s="28">
        <f t="shared" si="2"/>
        <v>66298.505356125359</v>
      </c>
      <c r="E44" s="1" t="s">
        <v>26</v>
      </c>
      <c r="F44" s="49">
        <v>12.1160968660968</v>
      </c>
      <c r="G44" s="35">
        <v>2.0030864197530995</v>
      </c>
      <c r="H44" s="101">
        <f t="shared" si="1"/>
        <v>0.62349138286190797</v>
      </c>
    </row>
    <row r="45" spans="1:8">
      <c r="A45" s="1" t="s">
        <v>45</v>
      </c>
      <c r="B45" s="1" t="s">
        <v>46</v>
      </c>
      <c r="C45" s="34">
        <v>66.307196923076901</v>
      </c>
      <c r="D45" s="28">
        <f t="shared" si="2"/>
        <v>66307.196923076903</v>
      </c>
      <c r="E45" s="1" t="s">
        <v>26</v>
      </c>
      <c r="F45" s="49">
        <v>12.0667616334283</v>
      </c>
      <c r="G45" s="35">
        <v>1.9537511870845989</v>
      </c>
      <c r="H45" s="101">
        <f t="shared" si="1"/>
        <v>0.58090581332009361</v>
      </c>
    </row>
    <row r="46" spans="1:8">
      <c r="A46" s="1" t="s">
        <v>45</v>
      </c>
      <c r="B46" s="1" t="s">
        <v>46</v>
      </c>
      <c r="C46" s="34">
        <v>66.312784358974312</v>
      </c>
      <c r="D46" s="28">
        <f t="shared" si="2"/>
        <v>66312.784358974313</v>
      </c>
      <c r="E46" s="1" t="s">
        <v>26</v>
      </c>
      <c r="F46" s="49">
        <v>11.917188983855601</v>
      </c>
      <c r="G46" s="35">
        <v>1.8041785375119002</v>
      </c>
      <c r="H46" s="101">
        <f t="shared" si="1"/>
        <v>0.45179653126336855</v>
      </c>
    </row>
    <row r="47" spans="1:8">
      <c r="A47" s="1" t="s">
        <v>45</v>
      </c>
      <c r="B47" s="1" t="s">
        <v>46</v>
      </c>
      <c r="C47" s="34">
        <v>66.321475925925924</v>
      </c>
      <c r="D47" s="28">
        <f t="shared" si="2"/>
        <v>66321.47592592593</v>
      </c>
      <c r="E47" s="1" t="s">
        <v>26</v>
      </c>
      <c r="F47" s="49">
        <v>11.751187084520399</v>
      </c>
      <c r="G47" s="35">
        <v>1.6381766381766987</v>
      </c>
      <c r="H47" s="101">
        <f t="shared" si="1"/>
        <v>0.30850572171731228</v>
      </c>
    </row>
    <row r="48" spans="1:8">
      <c r="A48" s="1" t="s">
        <v>45</v>
      </c>
      <c r="B48" s="1" t="s">
        <v>46</v>
      </c>
      <c r="C48" s="34">
        <v>66.327684188034183</v>
      </c>
      <c r="D48" s="28">
        <f t="shared" si="2"/>
        <v>66327.684188034182</v>
      </c>
      <c r="E48" s="1" t="s">
        <v>26</v>
      </c>
      <c r="F48" s="49">
        <v>10.5683285849952</v>
      </c>
      <c r="G48" s="35">
        <v>0.45531813865149928</v>
      </c>
      <c r="H48" s="101">
        <f t="shared" si="1"/>
        <v>-0.71252327044589692</v>
      </c>
    </row>
    <row r="49" spans="1:8">
      <c r="A49" s="1" t="s">
        <v>45</v>
      </c>
      <c r="B49" s="1" t="s">
        <v>46</v>
      </c>
      <c r="C49" s="34">
        <v>66.33575492877489</v>
      </c>
      <c r="D49" s="28">
        <f t="shared" si="2"/>
        <v>66335.754928774884</v>
      </c>
      <c r="E49" s="1" t="s">
        <v>26</v>
      </c>
      <c r="F49" s="49">
        <v>10.9189458689458</v>
      </c>
      <c r="G49" s="35">
        <v>0.80593542260209894</v>
      </c>
      <c r="H49" s="101">
        <f t="shared" si="1"/>
        <v>-0.40987471847558077</v>
      </c>
    </row>
    <row r="50" spans="1:8">
      <c r="A50" s="1" t="s">
        <v>45</v>
      </c>
      <c r="B50" s="1" t="s">
        <v>46</v>
      </c>
      <c r="C50" s="34">
        <v>66.343825669515653</v>
      </c>
      <c r="D50" s="28">
        <f t="shared" si="2"/>
        <v>66343.82566951566</v>
      </c>
      <c r="E50" s="1" t="s">
        <v>26</v>
      </c>
      <c r="F50" s="49">
        <v>10.9695631528964</v>
      </c>
      <c r="G50" s="35">
        <v>0.85655270655269966</v>
      </c>
      <c r="H50" s="101">
        <f t="shared" si="1"/>
        <v>-0.36618249794466695</v>
      </c>
    </row>
    <row r="51" spans="1:8">
      <c r="A51" s="1" t="s">
        <v>45</v>
      </c>
      <c r="B51" s="1" t="s">
        <v>46</v>
      </c>
      <c r="C51" s="34">
        <v>66.350033931623898</v>
      </c>
      <c r="D51" s="28">
        <f t="shared" si="2"/>
        <v>66350.033931623897</v>
      </c>
      <c r="E51" s="1" t="s">
        <v>26</v>
      </c>
      <c r="F51" s="49">
        <v>10.4867046533713</v>
      </c>
      <c r="G51" s="35">
        <v>0.37369420702759903</v>
      </c>
      <c r="H51" s="101">
        <f t="shared" si="1"/>
        <v>-0.78298005008251659</v>
      </c>
    </row>
    <row r="52" spans="1:8">
      <c r="A52" s="1" t="s">
        <v>45</v>
      </c>
      <c r="B52" s="1" t="s">
        <v>46</v>
      </c>
      <c r="C52" s="34">
        <v>66.359346324786316</v>
      </c>
      <c r="D52" s="28">
        <f t="shared" si="2"/>
        <v>66359.346324786311</v>
      </c>
      <c r="E52" s="1" t="s">
        <v>26</v>
      </c>
      <c r="F52" s="49">
        <v>10.3874169040835</v>
      </c>
      <c r="G52" s="35">
        <v>0.27440645773979888</v>
      </c>
      <c r="H52" s="101">
        <f t="shared" si="1"/>
        <v>-0.86868402112399645</v>
      </c>
    </row>
    <row r="53" spans="1:8">
      <c r="A53" s="1" t="s">
        <v>45</v>
      </c>
      <c r="B53" s="1" t="s">
        <v>46</v>
      </c>
      <c r="C53" s="34">
        <v>66.364933760683726</v>
      </c>
      <c r="D53" s="28">
        <f t="shared" si="2"/>
        <v>66364.933760683722</v>
      </c>
      <c r="E53" s="1" t="s">
        <v>26</v>
      </c>
      <c r="F53" s="49">
        <v>10.037844254510899</v>
      </c>
      <c r="G53" s="35">
        <v>-7.5166191832801488E-2</v>
      </c>
      <c r="H53" s="101">
        <f t="shared" si="1"/>
        <v>-1.170430857473572</v>
      </c>
    </row>
    <row r="54" spans="1:8">
      <c r="A54" s="1" t="s">
        <v>45</v>
      </c>
      <c r="B54" s="1" t="s">
        <v>46</v>
      </c>
      <c r="C54" s="34">
        <v>66.371762849002835</v>
      </c>
      <c r="D54" s="28">
        <f t="shared" si="2"/>
        <v>66371.762849002829</v>
      </c>
      <c r="E54" s="1" t="s">
        <v>26</v>
      </c>
      <c r="F54" s="49">
        <v>10.2050332383665</v>
      </c>
      <c r="G54" s="35">
        <v>9.2022792022799393E-2</v>
      </c>
      <c r="H54" s="101">
        <f t="shared" si="1"/>
        <v>-1.026115371085812</v>
      </c>
    </row>
    <row r="55" spans="1:8">
      <c r="A55" s="1" t="s">
        <v>45</v>
      </c>
      <c r="B55" s="1" t="s">
        <v>46</v>
      </c>
      <c r="C55" s="34">
        <v>66.379212763532735</v>
      </c>
      <c r="D55" s="28">
        <f t="shared" si="2"/>
        <v>66379.212763532734</v>
      </c>
      <c r="E55" s="1" t="s">
        <v>26</v>
      </c>
      <c r="F55" s="49">
        <v>9.8889363722697006</v>
      </c>
      <c r="G55" s="35">
        <v>-0.22407407407400015</v>
      </c>
      <c r="H55" s="101">
        <f t="shared" si="1"/>
        <v>-1.2989663204988768</v>
      </c>
    </row>
    <row r="56" spans="1:8">
      <c r="A56" s="1" t="s">
        <v>45</v>
      </c>
      <c r="B56" s="1" t="s">
        <v>46</v>
      </c>
      <c r="C56" s="34">
        <v>66.386041851851843</v>
      </c>
      <c r="D56" s="28">
        <f t="shared" si="2"/>
        <v>66386.041851851842</v>
      </c>
      <c r="E56" s="1" t="s">
        <v>26</v>
      </c>
      <c r="F56" s="49">
        <v>10.1394586894586</v>
      </c>
      <c r="G56" s="35">
        <v>2.6448243114899128E-2</v>
      </c>
      <c r="H56" s="101">
        <f t="shared" si="1"/>
        <v>-1.0827185198224238</v>
      </c>
    </row>
    <row r="57" spans="1:8">
      <c r="A57" s="1" t="s">
        <v>45</v>
      </c>
      <c r="B57" s="1" t="s">
        <v>46</v>
      </c>
      <c r="C57" s="34">
        <v>66.392250113960102</v>
      </c>
      <c r="D57" s="28">
        <f t="shared" si="2"/>
        <v>66392.250113960108</v>
      </c>
      <c r="E57" s="1" t="s">
        <v>26</v>
      </c>
      <c r="F57" s="49">
        <v>9.9232668566001898</v>
      </c>
      <c r="G57" s="35">
        <v>-0.18974358974351091</v>
      </c>
      <c r="H57" s="101">
        <f t="shared" si="1"/>
        <v>-1.2693326662363389</v>
      </c>
    </row>
    <row r="58" spans="1:8">
      <c r="A58" s="1" t="s">
        <v>45</v>
      </c>
      <c r="B58" s="1" t="s">
        <v>46</v>
      </c>
      <c r="C58" s="34">
        <v>66.399079202279154</v>
      </c>
      <c r="D58" s="28">
        <f t="shared" si="2"/>
        <v>66399.079202279157</v>
      </c>
      <c r="E58" s="1" t="s">
        <v>26</v>
      </c>
      <c r="F58" s="49">
        <v>9.4737891737891697</v>
      </c>
      <c r="G58" s="35">
        <v>-0.63922127255453098</v>
      </c>
      <c r="H58" s="101">
        <f t="shared" si="1"/>
        <v>-1.6573163055850906</v>
      </c>
    </row>
    <row r="59" spans="1:8">
      <c r="A59" s="1" t="s">
        <v>45</v>
      </c>
      <c r="B59" s="1" t="s">
        <v>46</v>
      </c>
      <c r="C59" s="34">
        <v>66.399700028490003</v>
      </c>
      <c r="D59" s="28">
        <f t="shared" si="2"/>
        <v>66399.700028489999</v>
      </c>
      <c r="E59" s="1" t="s">
        <v>26</v>
      </c>
      <c r="F59" s="49">
        <v>10.0071699905033</v>
      </c>
      <c r="G59" s="35">
        <v>-0.10584045584040069</v>
      </c>
      <c r="H59" s="101">
        <f t="shared" si="1"/>
        <v>-1.1969085070636107</v>
      </c>
    </row>
    <row r="60" spans="1:8">
      <c r="A60" s="1" t="s">
        <v>45</v>
      </c>
      <c r="B60" s="1" t="s">
        <v>46</v>
      </c>
      <c r="C60" s="34">
        <v>66.407149943019931</v>
      </c>
      <c r="D60" s="28">
        <f t="shared" si="2"/>
        <v>66407.149943019933</v>
      </c>
      <c r="E60" s="1" t="s">
        <v>26</v>
      </c>
      <c r="F60" s="49">
        <v>10.1577397910731</v>
      </c>
      <c r="G60" s="35">
        <v>4.4729344729399045E-2</v>
      </c>
      <c r="H60" s="101">
        <f t="shared" si="1"/>
        <v>-1.0669384964598845</v>
      </c>
    </row>
    <row r="61" spans="1:8">
      <c r="A61" s="1" t="s">
        <v>45</v>
      </c>
      <c r="B61" s="1" t="s">
        <v>46</v>
      </c>
      <c r="C61" s="34">
        <v>66.413979031339039</v>
      </c>
      <c r="D61" s="28">
        <f t="shared" si="2"/>
        <v>66413.97903133904</v>
      </c>
      <c r="E61" s="1" t="s">
        <v>26</v>
      </c>
      <c r="F61" s="49">
        <v>10.141595441595401</v>
      </c>
      <c r="G61" s="35">
        <v>2.8584995251700107E-2</v>
      </c>
      <c r="H61" s="101">
        <f t="shared" si="1"/>
        <v>-1.0808741015072862</v>
      </c>
    </row>
    <row r="62" spans="1:8">
      <c r="A62" s="1" t="s">
        <v>45</v>
      </c>
      <c r="B62" s="1" t="s">
        <v>46</v>
      </c>
      <c r="C62" s="34">
        <v>66.420187293447299</v>
      </c>
      <c r="D62" s="28">
        <f t="shared" si="2"/>
        <v>66420.187293447292</v>
      </c>
      <c r="E62" s="1" t="s">
        <v>26</v>
      </c>
      <c r="F62" s="49">
        <v>9.5420702754035993</v>
      </c>
      <c r="G62" s="35">
        <v>-0.57094017094010141</v>
      </c>
      <c r="H62" s="101">
        <f t="shared" si="1"/>
        <v>-1.5983768936493779</v>
      </c>
    </row>
    <row r="63" spans="1:8">
      <c r="A63" s="1" t="s">
        <v>45</v>
      </c>
      <c r="B63" s="1" t="s">
        <v>46</v>
      </c>
      <c r="C63" s="34">
        <v>66.427637207977199</v>
      </c>
      <c r="D63" s="28">
        <f t="shared" si="2"/>
        <v>66427.637207977197</v>
      </c>
      <c r="E63" s="1" t="s">
        <v>26</v>
      </c>
      <c r="F63" s="49">
        <v>9.8093067426400697</v>
      </c>
      <c r="G63" s="35">
        <v>-0.30370370370363098</v>
      </c>
      <c r="H63" s="101">
        <f t="shared" si="1"/>
        <v>-1.3677016430414357</v>
      </c>
    </row>
    <row r="64" spans="1:8">
      <c r="A64" s="1" t="s">
        <v>45</v>
      </c>
      <c r="B64" s="1" t="s">
        <v>46</v>
      </c>
      <c r="C64" s="34">
        <v>66.434466296296307</v>
      </c>
      <c r="D64" s="28">
        <f t="shared" si="2"/>
        <v>66434.466296296305</v>
      </c>
      <c r="E64" s="1" t="s">
        <v>26</v>
      </c>
      <c r="F64" s="49">
        <v>10.2931623931623</v>
      </c>
      <c r="G64" s="35">
        <v>0.18015194681859903</v>
      </c>
      <c r="H64" s="101">
        <f t="shared" si="1"/>
        <v>-0.95004336235656006</v>
      </c>
    </row>
    <row r="65" spans="1:8">
      <c r="A65" s="1" t="s">
        <v>45</v>
      </c>
      <c r="B65" s="1" t="s">
        <v>46</v>
      </c>
      <c r="C65" s="34">
        <v>66.441916210826207</v>
      </c>
      <c r="D65" s="28">
        <f t="shared" si="2"/>
        <v>66441.91621082621</v>
      </c>
      <c r="E65" s="1" t="s">
        <v>26</v>
      </c>
      <c r="F65" s="49">
        <v>10.3270655270655</v>
      </c>
      <c r="G65" s="35">
        <v>0.21405508072179913</v>
      </c>
      <c r="H65" s="101">
        <f t="shared" si="1"/>
        <v>-0.92077859175698817</v>
      </c>
    </row>
    <row r="66" spans="1:8">
      <c r="A66" s="1" t="s">
        <v>45</v>
      </c>
      <c r="B66" s="1" t="s">
        <v>46</v>
      </c>
      <c r="C66" s="34">
        <v>66.449366125356121</v>
      </c>
      <c r="D66" s="28">
        <f t="shared" ref="D66:D73" si="3">C66*1000</f>
        <v>66449.366125356115</v>
      </c>
      <c r="E66" s="1" t="s">
        <v>26</v>
      </c>
      <c r="F66" s="49">
        <v>9.8943019943019905</v>
      </c>
      <c r="G66" s="35">
        <v>-0.21870845204171019</v>
      </c>
      <c r="H66" s="101">
        <f t="shared" si="1"/>
        <v>-1.2943347811743029</v>
      </c>
    </row>
    <row r="67" spans="1:8">
      <c r="A67" s="1" t="s">
        <v>45</v>
      </c>
      <c r="B67" s="1" t="s">
        <v>46</v>
      </c>
      <c r="C67" s="34">
        <v>66.452470256410223</v>
      </c>
      <c r="D67" s="28">
        <f t="shared" si="3"/>
        <v>66452.470256410219</v>
      </c>
      <c r="E67" s="1" t="s">
        <v>26</v>
      </c>
      <c r="F67" s="49">
        <v>9.5778727445394107</v>
      </c>
      <c r="G67" s="35">
        <v>-0.53513770180428999</v>
      </c>
      <c r="H67" s="101">
        <f t="shared" si="1"/>
        <v>-1.5674726401031038</v>
      </c>
    </row>
    <row r="68" spans="1:8">
      <c r="A68" s="1" t="s">
        <v>45</v>
      </c>
      <c r="B68" s="1" t="s">
        <v>46</v>
      </c>
      <c r="C68" s="34">
        <v>66.459920170940137</v>
      </c>
      <c r="D68" s="28">
        <f t="shared" si="3"/>
        <v>66459.920170940139</v>
      </c>
      <c r="E68" s="1" t="s">
        <v>26</v>
      </c>
      <c r="F68" s="49">
        <v>9.8951092117758694</v>
      </c>
      <c r="G68" s="35">
        <v>-0.21790123456783128</v>
      </c>
      <c r="H68" s="101">
        <f t="shared" si="1"/>
        <v>-1.2936380009219379</v>
      </c>
    </row>
    <row r="69" spans="1:8">
      <c r="A69" s="1" t="s">
        <v>45</v>
      </c>
      <c r="B69" s="1" t="s">
        <v>46</v>
      </c>
      <c r="C69" s="34">
        <v>66.466749259259245</v>
      </c>
      <c r="D69" s="28">
        <f t="shared" si="3"/>
        <v>66466.749259259246</v>
      </c>
      <c r="E69" s="1" t="s">
        <v>26</v>
      </c>
      <c r="F69" s="49">
        <v>10.5956315289648</v>
      </c>
      <c r="G69" s="35">
        <v>0.48262108262109926</v>
      </c>
      <c r="H69" s="101">
        <f t="shared" ref="H69:H72" si="4">(F69-11.39378429)/1.158496486</f>
        <v>-0.68895570308635301</v>
      </c>
    </row>
    <row r="70" spans="1:8">
      <c r="A70" s="1" t="s">
        <v>45</v>
      </c>
      <c r="B70" s="1" t="s">
        <v>46</v>
      </c>
      <c r="C70" s="34">
        <v>66.466749259259245</v>
      </c>
      <c r="D70" s="28">
        <f t="shared" si="3"/>
        <v>66466.749259259246</v>
      </c>
      <c r="E70" s="1" t="s">
        <v>26</v>
      </c>
      <c r="F70" s="49">
        <v>10.6956315289648</v>
      </c>
      <c r="G70" s="35">
        <v>0.58262108262109891</v>
      </c>
      <c r="H70" s="101">
        <f t="shared" si="4"/>
        <v>-0.60263692593988549</v>
      </c>
    </row>
    <row r="71" spans="1:8">
      <c r="A71" s="1" t="s">
        <v>45</v>
      </c>
      <c r="B71" s="1" t="s">
        <v>46</v>
      </c>
      <c r="C71" s="34">
        <v>66.474199173789145</v>
      </c>
      <c r="D71" s="28">
        <f t="shared" si="3"/>
        <v>66474.199173789151</v>
      </c>
      <c r="E71" s="1" t="s">
        <v>26</v>
      </c>
      <c r="F71" s="49">
        <v>10.0628679962013</v>
      </c>
      <c r="G71" s="35">
        <v>-5.0142450142400818E-2</v>
      </c>
      <c r="H71" s="101">
        <f t="shared" si="4"/>
        <v>-1.1488306696501274</v>
      </c>
    </row>
    <row r="72" spans="1:8">
      <c r="A72" s="1" t="s">
        <v>45</v>
      </c>
      <c r="B72" s="1" t="s">
        <v>46</v>
      </c>
      <c r="C72" s="34">
        <v>66.481649088319045</v>
      </c>
      <c r="D72" s="28">
        <f t="shared" si="3"/>
        <v>66481.649088319042</v>
      </c>
      <c r="E72" s="1" t="s">
        <v>26</v>
      </c>
      <c r="F72" s="49">
        <v>10.2801044634377</v>
      </c>
      <c r="G72" s="35">
        <v>0.16709401709399962</v>
      </c>
      <c r="H72" s="101">
        <f t="shared" si="4"/>
        <v>-0.96131480761547938</v>
      </c>
    </row>
    <row r="73" spans="1:8">
      <c r="A73" s="1" t="s">
        <v>45</v>
      </c>
      <c r="B73" s="1" t="s">
        <v>46</v>
      </c>
      <c r="C73" s="34">
        <v>66.488478176638168</v>
      </c>
      <c r="D73" s="28">
        <f t="shared" si="3"/>
        <v>66488.478176638164</v>
      </c>
      <c r="E73" s="1" t="s">
        <v>26</v>
      </c>
      <c r="F73" s="49">
        <v>9.9472934472934398</v>
      </c>
      <c r="G73" s="35">
        <v>-0.16571699905026094</v>
      </c>
      <c r="H73" s="101">
        <f>(F73-11.39378429)/1.158496486</f>
        <v>-1.2485932069599386</v>
      </c>
    </row>
    <row r="74" spans="1:8">
      <c r="D74" s="31"/>
      <c r="F74" s="47">
        <f>AVERAGE(F2:F73)</f>
        <v>11.393784293552763</v>
      </c>
    </row>
    <row r="75" spans="1:8">
      <c r="D75" s="31"/>
      <c r="F75" s="48">
        <f>STDEV(F2:F73)</f>
        <v>1.1584964856960405</v>
      </c>
    </row>
    <row r="76" spans="1:8">
      <c r="D76" s="31"/>
    </row>
    <row r="77" spans="1:8">
      <c r="D77" s="31"/>
    </row>
    <row r="78" spans="1:8">
      <c r="D78" s="31"/>
    </row>
    <row r="79" spans="1:8">
      <c r="D79" s="31"/>
    </row>
    <row r="80" spans="1:8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1"/>
    </row>
    <row r="88" spans="4:4">
      <c r="D88" s="31"/>
    </row>
    <row r="89" spans="4:4">
      <c r="D89" s="31"/>
    </row>
    <row r="90" spans="4:4">
      <c r="D90" s="31"/>
    </row>
    <row r="91" spans="4:4">
      <c r="D91" s="31"/>
    </row>
    <row r="92" spans="4:4">
      <c r="D92" s="31"/>
    </row>
    <row r="93" spans="4:4">
      <c r="D93" s="31"/>
    </row>
    <row r="94" spans="4:4">
      <c r="D94" s="31"/>
    </row>
    <row r="95" spans="4:4">
      <c r="D95" s="31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3"/>
    </row>
    <row r="157" spans="4:4">
      <c r="D157" s="33"/>
    </row>
    <row r="158" spans="4:4">
      <c r="D158" s="33"/>
    </row>
    <row r="159" spans="4:4">
      <c r="D159" s="33"/>
    </row>
    <row r="160" spans="4:4">
      <c r="D160" s="33"/>
    </row>
    <row r="161" spans="4:4">
      <c r="D161" s="33"/>
    </row>
    <row r="162" spans="4:4">
      <c r="D162" s="33"/>
    </row>
    <row r="163" spans="4:4">
      <c r="D163" s="33"/>
    </row>
    <row r="164" spans="4:4">
      <c r="D164" s="33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1"/>
    </row>
    <row r="230" spans="4:4">
      <c r="D230" s="31"/>
    </row>
    <row r="231" spans="4:4">
      <c r="D231" s="31"/>
    </row>
    <row r="232" spans="4:4">
      <c r="D232" s="31"/>
    </row>
    <row r="233" spans="4:4">
      <c r="D233" s="31"/>
    </row>
    <row r="234" spans="4:4">
      <c r="D234" s="31"/>
    </row>
    <row r="235" spans="4:4">
      <c r="D235" s="31"/>
    </row>
    <row r="236" spans="4:4">
      <c r="D236" s="31"/>
    </row>
    <row r="237" spans="4:4">
      <c r="D237" s="31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3"/>
    </row>
    <row r="244" spans="4:4">
      <c r="D244" s="33"/>
    </row>
    <row r="245" spans="4:4">
      <c r="D245" s="33"/>
    </row>
    <row r="246" spans="4:4">
      <c r="D246" s="33"/>
    </row>
    <row r="247" spans="4:4">
      <c r="D247" s="33"/>
    </row>
    <row r="248" spans="4:4">
      <c r="D248" s="33"/>
    </row>
    <row r="249" spans="4:4">
      <c r="D249" s="33"/>
    </row>
    <row r="250" spans="4:4">
      <c r="D250" s="33"/>
    </row>
    <row r="251" spans="4:4">
      <c r="D251" s="33"/>
    </row>
    <row r="252" spans="4:4">
      <c r="D252" s="33"/>
    </row>
    <row r="253" spans="4:4">
      <c r="D253" s="33"/>
    </row>
    <row r="254" spans="4:4">
      <c r="D254" s="33"/>
    </row>
    <row r="255" spans="4:4">
      <c r="D255" s="33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1"/>
    </row>
    <row r="317" spans="4:4">
      <c r="D317" s="31"/>
    </row>
    <row r="318" spans="4:4">
      <c r="D318" s="31"/>
    </row>
    <row r="319" spans="4:4">
      <c r="D319" s="31"/>
    </row>
    <row r="320" spans="4:4">
      <c r="D320" s="31"/>
    </row>
    <row r="321" spans="4:4">
      <c r="D321" s="31"/>
    </row>
    <row r="322" spans="4:4">
      <c r="D32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7" spans="4:4">
      <c r="D797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2" spans="4:4">
      <c r="D882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1" spans="4:4">
      <c r="D911" s="39"/>
    </row>
    <row r="912" spans="4:4">
      <c r="D912" s="39"/>
    </row>
    <row r="913" spans="4:4">
      <c r="D913" s="39"/>
    </row>
    <row r="914" spans="4:4">
      <c r="D914" s="39"/>
    </row>
    <row r="915" spans="4:4">
      <c r="D915" s="39"/>
    </row>
    <row r="916" spans="4:4">
      <c r="D916" s="39"/>
    </row>
    <row r="917" spans="4:4">
      <c r="D917" s="39"/>
    </row>
    <row r="918" spans="4:4">
      <c r="D918" s="39"/>
    </row>
    <row r="919" spans="4:4">
      <c r="D919" s="39"/>
    </row>
    <row r="920" spans="4:4">
      <c r="D920" s="39"/>
    </row>
    <row r="921" spans="4:4">
      <c r="D921" s="39"/>
    </row>
    <row r="922" spans="4:4">
      <c r="D922" s="39"/>
    </row>
    <row r="923" spans="4:4">
      <c r="D923" s="39"/>
    </row>
    <row r="924" spans="4:4">
      <c r="D924" s="39"/>
    </row>
    <row r="925" spans="4:4">
      <c r="D925" s="39"/>
    </row>
    <row r="926" spans="4:4">
      <c r="D926" s="39"/>
    </row>
    <row r="927" spans="4:4">
      <c r="D927" s="39"/>
    </row>
    <row r="928" spans="4:4">
      <c r="D928" s="39"/>
    </row>
    <row r="929" spans="4:4">
      <c r="D929" s="39"/>
    </row>
    <row r="930" spans="4:4">
      <c r="D930" s="39"/>
    </row>
    <row r="931" spans="4:4">
      <c r="D931" s="39"/>
    </row>
    <row r="932" spans="4:4">
      <c r="D932" s="39"/>
    </row>
    <row r="933" spans="4:4">
      <c r="D933" s="39"/>
    </row>
    <row r="934" spans="4:4">
      <c r="D934" s="39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3" spans="4:4">
      <c r="D983" s="31"/>
    </row>
    <row r="984" spans="4:4">
      <c r="D984" s="31"/>
    </row>
    <row r="985" spans="4:4">
      <c r="D985" s="31"/>
    </row>
    <row r="986" spans="4:4">
      <c r="D986" s="31"/>
    </row>
    <row r="987" spans="4:4">
      <c r="D987" s="31"/>
    </row>
    <row r="988" spans="4:4">
      <c r="D988" s="31"/>
    </row>
    <row r="989" spans="4:4">
      <c r="D989" s="31"/>
    </row>
    <row r="990" spans="4:4">
      <c r="D990" s="31"/>
    </row>
    <row r="991" spans="4:4">
      <c r="D991" s="31"/>
    </row>
    <row r="992" spans="4:4">
      <c r="D992" s="31"/>
    </row>
    <row r="993" spans="4:4">
      <c r="D993" s="31"/>
    </row>
    <row r="994" spans="4:4">
      <c r="D994" s="31"/>
    </row>
    <row r="995" spans="4:4">
      <c r="D995" s="31"/>
    </row>
    <row r="997" spans="4:4">
      <c r="D997" s="31"/>
    </row>
    <row r="998" spans="4:4">
      <c r="D998" s="31"/>
    </row>
    <row r="999" spans="4:4">
      <c r="D999" s="31"/>
    </row>
    <row r="1000" spans="4:4">
      <c r="D1000" s="31"/>
    </row>
    <row r="1001" spans="4:4">
      <c r="D1001" s="31"/>
    </row>
    <row r="1002" spans="4:4">
      <c r="D1002" s="31"/>
    </row>
    <row r="1003" spans="4:4">
      <c r="D1003" s="31"/>
    </row>
    <row r="1004" spans="4:4">
      <c r="D1004" s="31"/>
    </row>
    <row r="1005" spans="4:4">
      <c r="D1005" s="31"/>
    </row>
    <row r="1006" spans="4:4">
      <c r="D1006" s="31"/>
    </row>
    <row r="1007" spans="4:4">
      <c r="D1007" s="31"/>
    </row>
    <row r="1008" spans="4:4">
      <c r="D1008" s="31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69" spans="4:4">
      <c r="D1069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39" spans="4:4">
      <c r="D1339" s="31"/>
    </row>
    <row r="1340" spans="4:4">
      <c r="D1340" s="31"/>
    </row>
    <row r="1341" spans="4:4">
      <c r="D1341" s="31"/>
    </row>
    <row r="1342" spans="4:4">
      <c r="D1342" s="31"/>
    </row>
  </sheetData>
  <phoneticPr fontId="1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43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19.1640625" style="2" customWidth="1"/>
    <col min="2" max="2" width="10.3320312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1.33203125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45</v>
      </c>
      <c r="B2" s="1" t="s">
        <v>46</v>
      </c>
      <c r="C2" s="27">
        <v>66.046469879518085</v>
      </c>
      <c r="D2" s="28">
        <f t="shared" ref="D2:D33" si="0">C2*1000</f>
        <v>66046.469879518088</v>
      </c>
      <c r="E2" s="1" t="s">
        <v>30</v>
      </c>
      <c r="F2" s="29">
        <v>14.152900000000001</v>
      </c>
      <c r="G2" s="30">
        <v>0</v>
      </c>
      <c r="H2" s="101">
        <f>(F2-14.95198028)/0.724533451</f>
        <v>-1.1028894233897837</v>
      </c>
      <c r="I2" s="3">
        <v>0.59679784231300004</v>
      </c>
      <c r="J2" s="88">
        <v>66000</v>
      </c>
      <c r="K2" s="3">
        <v>0.34063299602899999</v>
      </c>
      <c r="L2" s="88">
        <v>66000</v>
      </c>
      <c r="M2" s="3">
        <v>1.2871731446400001</v>
      </c>
      <c r="N2" s="88">
        <v>66100</v>
      </c>
      <c r="O2" s="3">
        <v>0.34063299602899999</v>
      </c>
      <c r="P2" s="88">
        <v>66050</v>
      </c>
    </row>
    <row r="3" spans="1:16">
      <c r="A3" s="1" t="s">
        <v>45</v>
      </c>
      <c r="B3" s="1" t="s">
        <v>46</v>
      </c>
      <c r="C3" s="27">
        <v>66.05293975903615</v>
      </c>
      <c r="D3" s="28">
        <f t="shared" si="0"/>
        <v>66052.939759036148</v>
      </c>
      <c r="E3" s="1" t="s">
        <v>30</v>
      </c>
      <c r="F3" s="29">
        <v>14.242800000000001</v>
      </c>
      <c r="G3" s="30">
        <v>8.9900000000000091E-2</v>
      </c>
      <c r="H3" s="101">
        <f t="shared" ref="H3:H66" si="1">(F3-14.95198028)/0.724533451</f>
        <v>-0.97880957603985075</v>
      </c>
      <c r="I3" s="3">
        <v>1.16336933692</v>
      </c>
      <c r="J3" s="88">
        <v>66200</v>
      </c>
      <c r="K3" s="3">
        <v>1.7060633970500001</v>
      </c>
      <c r="L3" s="88">
        <v>66150</v>
      </c>
      <c r="M3" s="3">
        <v>1.1128540709000001</v>
      </c>
      <c r="N3" s="88">
        <v>66200</v>
      </c>
      <c r="O3" s="3">
        <v>1.4243303730800001</v>
      </c>
      <c r="P3" s="88">
        <v>66100</v>
      </c>
    </row>
    <row r="4" spans="1:16">
      <c r="A4" s="1" t="s">
        <v>45</v>
      </c>
      <c r="B4" s="1" t="s">
        <v>46</v>
      </c>
      <c r="C4" s="27">
        <v>66.059409638554229</v>
      </c>
      <c r="D4" s="28">
        <f t="shared" si="0"/>
        <v>66059.409638554222</v>
      </c>
      <c r="E4" s="1" t="s">
        <v>30</v>
      </c>
      <c r="F4" s="29">
        <v>13.951000000000001</v>
      </c>
      <c r="G4" s="30">
        <v>-0.20190000000000019</v>
      </c>
      <c r="H4" s="101">
        <f t="shared" si="1"/>
        <v>-1.3815515054804561</v>
      </c>
      <c r="I4" s="3">
        <v>0.83857411897199996</v>
      </c>
      <c r="J4" s="88">
        <v>66400</v>
      </c>
      <c r="K4" s="3">
        <v>0.98049303232899998</v>
      </c>
      <c r="L4" s="88">
        <v>66300</v>
      </c>
      <c r="M4" s="3">
        <v>1.1037447606299999</v>
      </c>
      <c r="N4" s="88">
        <v>66300</v>
      </c>
      <c r="O4" s="3">
        <v>1.1878678607499999</v>
      </c>
      <c r="P4" s="88">
        <v>66150</v>
      </c>
    </row>
    <row r="5" spans="1:16">
      <c r="A5" s="1" t="s">
        <v>45</v>
      </c>
      <c r="B5" s="1" t="s">
        <v>46</v>
      </c>
      <c r="C5" s="27">
        <v>66.065879518072293</v>
      </c>
      <c r="D5" s="28">
        <f t="shared" si="0"/>
        <v>66065.879518072295</v>
      </c>
      <c r="E5" s="1" t="s">
        <v>30</v>
      </c>
      <c r="F5" s="29">
        <v>14.0411</v>
      </c>
      <c r="G5" s="30">
        <v>-0.11180000000000057</v>
      </c>
      <c r="H5" s="101">
        <f t="shared" si="1"/>
        <v>-1.2571956184256297</v>
      </c>
      <c r="I5" s="3">
        <v>0.498803747021</v>
      </c>
      <c r="J5" s="88">
        <v>66600</v>
      </c>
      <c r="K5" s="3">
        <v>0.83025842285700002</v>
      </c>
      <c r="L5" s="88">
        <v>66450</v>
      </c>
      <c r="M5" s="3">
        <v>0.52806395575599996</v>
      </c>
      <c r="N5" s="88">
        <v>66400</v>
      </c>
      <c r="O5" s="3">
        <v>0.43227817810500002</v>
      </c>
      <c r="P5" s="88">
        <v>66200</v>
      </c>
    </row>
    <row r="6" spans="1:16">
      <c r="A6" s="1" t="s">
        <v>45</v>
      </c>
      <c r="B6" s="1" t="s">
        <v>46</v>
      </c>
      <c r="C6" s="27">
        <v>66.06659839357431</v>
      </c>
      <c r="D6" s="28">
        <f t="shared" si="0"/>
        <v>66066.598393574313</v>
      </c>
      <c r="E6" s="1" t="s">
        <v>30</v>
      </c>
      <c r="F6" s="29">
        <v>13.3378</v>
      </c>
      <c r="G6" s="30">
        <v>-0.81510000000000105</v>
      </c>
      <c r="H6" s="101">
        <f t="shared" si="1"/>
        <v>-2.2278892406860056</v>
      </c>
      <c r="M6" s="3">
        <v>0.77235909472300002</v>
      </c>
      <c r="N6" s="88">
        <v>66500</v>
      </c>
      <c r="O6" s="3">
        <v>1.12430971866</v>
      </c>
      <c r="P6" s="88">
        <v>66250</v>
      </c>
    </row>
    <row r="7" spans="1:16">
      <c r="A7" s="1" t="s">
        <v>45</v>
      </c>
      <c r="B7" s="1" t="s">
        <v>46</v>
      </c>
      <c r="C7" s="27">
        <v>66.072349397590372</v>
      </c>
      <c r="D7" s="28">
        <f t="shared" si="0"/>
        <v>66072.349397590369</v>
      </c>
      <c r="E7" s="1" t="s">
        <v>30</v>
      </c>
      <c r="F7" s="29">
        <v>14.4725</v>
      </c>
      <c r="G7" s="30">
        <v>0.31959999999999944</v>
      </c>
      <c r="H7" s="101">
        <f t="shared" si="1"/>
        <v>-0.66177797496888879</v>
      </c>
      <c r="O7" s="3">
        <v>1.31512216477</v>
      </c>
      <c r="P7" s="88">
        <v>66300</v>
      </c>
    </row>
    <row r="8" spans="1:16">
      <c r="A8" s="1" t="s">
        <v>45</v>
      </c>
      <c r="B8" s="1" t="s">
        <v>46</v>
      </c>
      <c r="C8" s="27">
        <v>66.079538152610453</v>
      </c>
      <c r="D8" s="28">
        <f t="shared" si="0"/>
        <v>66079.538152610447</v>
      </c>
      <c r="E8" s="1" t="s">
        <v>30</v>
      </c>
      <c r="F8" s="29">
        <v>14.040100000000001</v>
      </c>
      <c r="G8" s="30">
        <v>-0.11280000000000001</v>
      </c>
      <c r="H8" s="101">
        <f t="shared" si="1"/>
        <v>-1.2585758169500998</v>
      </c>
      <c r="O8" s="3">
        <v>0.414887676687</v>
      </c>
      <c r="P8" s="88">
        <v>66350</v>
      </c>
    </row>
    <row r="9" spans="1:16">
      <c r="A9" s="1" t="s">
        <v>45</v>
      </c>
      <c r="B9" s="1" t="s">
        <v>46</v>
      </c>
      <c r="C9" s="27">
        <v>66.086726907630535</v>
      </c>
      <c r="D9" s="28">
        <f t="shared" si="0"/>
        <v>66086.726907630538</v>
      </c>
      <c r="E9" s="1" t="s">
        <v>30</v>
      </c>
      <c r="F9" s="29">
        <v>14.973800000000001</v>
      </c>
      <c r="G9" s="30">
        <v>0.82089999999999996</v>
      </c>
      <c r="H9" s="101">
        <f t="shared" si="1"/>
        <v>3.0115545348367741E-2</v>
      </c>
      <c r="O9" s="3">
        <v>0.58251278757699998</v>
      </c>
      <c r="P9" s="88">
        <v>66400</v>
      </c>
    </row>
    <row r="10" spans="1:16">
      <c r="A10" s="1" t="s">
        <v>45</v>
      </c>
      <c r="B10" s="1" t="s">
        <v>46</v>
      </c>
      <c r="C10" s="27">
        <v>66.094634538152619</v>
      </c>
      <c r="D10" s="28">
        <f t="shared" si="0"/>
        <v>66094.634538152619</v>
      </c>
      <c r="E10" s="1" t="s">
        <v>30</v>
      </c>
      <c r="F10" s="29">
        <v>14.9733</v>
      </c>
      <c r="G10" s="30">
        <v>0.82039999999999935</v>
      </c>
      <c r="H10" s="101">
        <f t="shared" si="1"/>
        <v>2.9425446086131454E-2</v>
      </c>
      <c r="O10" s="3">
        <v>0.27783396312999997</v>
      </c>
      <c r="P10" s="88">
        <v>66450</v>
      </c>
    </row>
    <row r="11" spans="1:16">
      <c r="A11" s="1" t="s">
        <v>45</v>
      </c>
      <c r="B11" s="1" t="s">
        <v>46</v>
      </c>
      <c r="C11" s="27">
        <v>66.100385542168681</v>
      </c>
      <c r="D11" s="28">
        <f t="shared" si="0"/>
        <v>66100.385542168675</v>
      </c>
      <c r="E11" s="1" t="s">
        <v>30</v>
      </c>
      <c r="F11" s="29">
        <v>14.9727</v>
      </c>
      <c r="G11" s="30">
        <v>0.81979999999999897</v>
      </c>
      <c r="H11" s="101">
        <f t="shared" si="1"/>
        <v>2.85973269714484E-2</v>
      </c>
      <c r="O11" s="3">
        <v>0.83067248241500002</v>
      </c>
      <c r="P11" s="88">
        <v>66500</v>
      </c>
    </row>
    <row r="12" spans="1:16">
      <c r="A12" s="1" t="s">
        <v>45</v>
      </c>
      <c r="B12" s="1" t="s">
        <v>46</v>
      </c>
      <c r="C12" s="27">
        <v>66.105417670682741</v>
      </c>
      <c r="D12" s="28">
        <f t="shared" si="0"/>
        <v>66105.417670682742</v>
      </c>
      <c r="E12" s="1" t="s">
        <v>30</v>
      </c>
      <c r="F12" s="29">
        <v>13.3353</v>
      </c>
      <c r="G12" s="30">
        <v>-0.81760000000000055</v>
      </c>
      <c r="H12" s="101">
        <f t="shared" si="1"/>
        <v>-2.2313397369971821</v>
      </c>
    </row>
    <row r="13" spans="1:16">
      <c r="A13" s="1" t="s">
        <v>45</v>
      </c>
      <c r="B13" s="1" t="s">
        <v>46</v>
      </c>
      <c r="C13" s="27">
        <v>66.106855421686745</v>
      </c>
      <c r="D13" s="28">
        <f t="shared" si="0"/>
        <v>66106.855421686749</v>
      </c>
      <c r="E13" s="1" t="s">
        <v>30</v>
      </c>
      <c r="F13" s="29">
        <v>15.4747</v>
      </c>
      <c r="G13" s="30">
        <v>1.3217999999999996</v>
      </c>
      <c r="H13" s="101">
        <f t="shared" si="1"/>
        <v>0.72145698625583476</v>
      </c>
    </row>
    <row r="14" spans="1:16">
      <c r="A14" s="1" t="s">
        <v>45</v>
      </c>
      <c r="B14" s="1" t="s">
        <v>46</v>
      </c>
      <c r="C14" s="27">
        <v>66.114763052208843</v>
      </c>
      <c r="D14" s="28">
        <f t="shared" si="0"/>
        <v>66114.763052208844</v>
      </c>
      <c r="E14" s="1" t="s">
        <v>30</v>
      </c>
      <c r="F14" s="29">
        <v>14.2386</v>
      </c>
      <c r="G14" s="30">
        <v>8.5699999999999221E-2</v>
      </c>
      <c r="H14" s="101">
        <f t="shared" si="1"/>
        <v>-0.9846064098426297</v>
      </c>
    </row>
    <row r="15" spans="1:16">
      <c r="A15" s="1" t="s">
        <v>45</v>
      </c>
      <c r="B15" s="1" t="s">
        <v>46</v>
      </c>
      <c r="C15" s="27">
        <v>66.122670682730927</v>
      </c>
      <c r="D15" s="28">
        <f t="shared" si="0"/>
        <v>66122.670682730924</v>
      </c>
      <c r="E15" s="1" t="s">
        <v>30</v>
      </c>
      <c r="F15" s="29">
        <v>13.6455</v>
      </c>
      <c r="G15" s="30">
        <v>-0.50740000000000052</v>
      </c>
      <c r="H15" s="101">
        <f t="shared" si="1"/>
        <v>-1.8032021547063126</v>
      </c>
    </row>
    <row r="16" spans="1:16">
      <c r="A16" s="1" t="s">
        <v>45</v>
      </c>
      <c r="B16" s="1" t="s">
        <v>46</v>
      </c>
      <c r="C16" s="27">
        <v>66.129859437751008</v>
      </c>
      <c r="D16" s="28">
        <f t="shared" si="0"/>
        <v>66129.859437751002</v>
      </c>
      <c r="E16" s="1" t="s">
        <v>30</v>
      </c>
      <c r="F16" s="29">
        <v>14.970800000000001</v>
      </c>
      <c r="G16" s="30">
        <v>0.81789999999999985</v>
      </c>
      <c r="H16" s="101">
        <f t="shared" si="1"/>
        <v>2.597494977495492E-2</v>
      </c>
    </row>
    <row r="17" spans="1:8">
      <c r="A17" s="1" t="s">
        <v>45</v>
      </c>
      <c r="B17" s="1" t="s">
        <v>46</v>
      </c>
      <c r="C17" s="27">
        <v>66.13704819277109</v>
      </c>
      <c r="D17" s="28">
        <f t="shared" si="0"/>
        <v>66137.048192771093</v>
      </c>
      <c r="E17" s="1" t="s">
        <v>30</v>
      </c>
      <c r="F17" s="29">
        <v>14.2371</v>
      </c>
      <c r="G17" s="30">
        <v>8.4199999999999164E-2</v>
      </c>
      <c r="H17" s="101">
        <f t="shared" si="1"/>
        <v>-0.98667670762933612</v>
      </c>
    </row>
    <row r="18" spans="1:8">
      <c r="A18" s="1" t="s">
        <v>45</v>
      </c>
      <c r="B18" s="1" t="s">
        <v>46</v>
      </c>
      <c r="C18" s="27">
        <v>66.139923694779128</v>
      </c>
      <c r="D18" s="28">
        <f t="shared" si="0"/>
        <v>66139.923694779121</v>
      </c>
      <c r="E18" s="1" t="s">
        <v>30</v>
      </c>
      <c r="F18" s="29">
        <v>15.4825</v>
      </c>
      <c r="G18" s="30">
        <v>1.3295999999999992</v>
      </c>
      <c r="H18" s="101">
        <f t="shared" si="1"/>
        <v>0.73222253474670718</v>
      </c>
    </row>
    <row r="19" spans="1:8">
      <c r="A19" s="1" t="s">
        <v>45</v>
      </c>
      <c r="B19" s="1" t="s">
        <v>46</v>
      </c>
      <c r="C19" s="27">
        <v>66.147112449799195</v>
      </c>
      <c r="D19" s="28">
        <f t="shared" si="0"/>
        <v>66147.112449799199</v>
      </c>
      <c r="E19" s="1" t="s">
        <v>30</v>
      </c>
      <c r="F19" s="29">
        <v>14.0457</v>
      </c>
      <c r="G19" s="30">
        <v>-0.10720000000000063</v>
      </c>
      <c r="H19" s="101">
        <f t="shared" si="1"/>
        <v>-1.2508467052130636</v>
      </c>
    </row>
    <row r="20" spans="1:8">
      <c r="A20" s="1" t="s">
        <v>45</v>
      </c>
      <c r="B20" s="1" t="s">
        <v>46</v>
      </c>
      <c r="C20" s="27">
        <v>66.155020080321293</v>
      </c>
      <c r="D20" s="28">
        <f t="shared" si="0"/>
        <v>66155.020080321294</v>
      </c>
      <c r="E20" s="1" t="s">
        <v>30</v>
      </c>
      <c r="F20" s="29">
        <v>16.8978</v>
      </c>
      <c r="G20" s="30">
        <v>2.7448999999999995</v>
      </c>
      <c r="H20" s="101">
        <f t="shared" si="1"/>
        <v>2.6856175064303542</v>
      </c>
    </row>
    <row r="21" spans="1:8">
      <c r="A21" s="1" t="s">
        <v>45</v>
      </c>
      <c r="B21" s="1" t="s">
        <v>46</v>
      </c>
      <c r="C21" s="27">
        <v>66.161489959839358</v>
      </c>
      <c r="D21" s="28">
        <f t="shared" si="0"/>
        <v>66161.489959839353</v>
      </c>
      <c r="E21" s="1" t="s">
        <v>30</v>
      </c>
      <c r="F21" s="29">
        <v>14.336</v>
      </c>
      <c r="G21" s="30">
        <v>0.1830999999999996</v>
      </c>
      <c r="H21" s="101">
        <f t="shared" si="1"/>
        <v>-0.85017507355916477</v>
      </c>
    </row>
    <row r="22" spans="1:8">
      <c r="A22" s="1" t="s">
        <v>45</v>
      </c>
      <c r="B22" s="1" t="s">
        <v>46</v>
      </c>
      <c r="C22" s="27">
        <v>66.16724096385542</v>
      </c>
      <c r="D22" s="28">
        <f t="shared" si="0"/>
        <v>66167.240963855424</v>
      </c>
      <c r="E22" s="1" t="s">
        <v>30</v>
      </c>
      <c r="F22" s="29">
        <v>14.6469</v>
      </c>
      <c r="G22" s="30">
        <v>0.49399999999999977</v>
      </c>
      <c r="H22" s="101">
        <f t="shared" si="1"/>
        <v>-0.4210713523011656</v>
      </c>
    </row>
    <row r="23" spans="1:8">
      <c r="A23" s="1" t="s">
        <v>45</v>
      </c>
      <c r="B23" s="1" t="s">
        <v>46</v>
      </c>
      <c r="C23" s="27">
        <v>66.174429718875501</v>
      </c>
      <c r="D23" s="28">
        <f t="shared" si="0"/>
        <v>66174.429718875501</v>
      </c>
      <c r="E23" s="1" t="s">
        <v>30</v>
      </c>
      <c r="F23" s="29">
        <v>15.0684</v>
      </c>
      <c r="G23" s="30">
        <v>0.91549999999999976</v>
      </c>
      <c r="H23" s="101">
        <f t="shared" si="1"/>
        <v>0.1606823257633134</v>
      </c>
    </row>
    <row r="24" spans="1:8">
      <c r="A24" s="1" t="s">
        <v>45</v>
      </c>
      <c r="B24" s="1" t="s">
        <v>46</v>
      </c>
      <c r="C24" s="27">
        <v>66.176586345381537</v>
      </c>
      <c r="D24" s="28">
        <f t="shared" si="0"/>
        <v>66176.58634538154</v>
      </c>
      <c r="E24" s="1" t="s">
        <v>30</v>
      </c>
      <c r="F24" s="29">
        <v>13.8428</v>
      </c>
      <c r="G24" s="30">
        <v>-0.31010000000000026</v>
      </c>
      <c r="H24" s="101">
        <f t="shared" si="1"/>
        <v>-1.5308889858282062</v>
      </c>
    </row>
    <row r="25" spans="1:8">
      <c r="A25" s="1" t="s">
        <v>45</v>
      </c>
      <c r="B25" s="1" t="s">
        <v>46</v>
      </c>
      <c r="C25" s="27">
        <v>66.181618473895583</v>
      </c>
      <c r="D25" s="28">
        <f t="shared" si="0"/>
        <v>66181.618473895578</v>
      </c>
      <c r="E25" s="1" t="s">
        <v>30</v>
      </c>
      <c r="F25" s="29">
        <v>15.2386</v>
      </c>
      <c r="G25" s="30">
        <v>1.0856999999999992</v>
      </c>
      <c r="H25" s="101">
        <f t="shared" si="1"/>
        <v>0.39559211462825772</v>
      </c>
    </row>
    <row r="26" spans="1:8">
      <c r="A26" s="1" t="s">
        <v>45</v>
      </c>
      <c r="B26" s="1" t="s">
        <v>46</v>
      </c>
      <c r="C26" s="27">
        <v>66.186650602409642</v>
      </c>
      <c r="D26" s="28">
        <f t="shared" si="0"/>
        <v>66186.650602409645</v>
      </c>
      <c r="E26" s="1" t="s">
        <v>30</v>
      </c>
      <c r="F26" s="29">
        <v>15.5596</v>
      </c>
      <c r="G26" s="30">
        <v>1.406699999999999</v>
      </c>
      <c r="H26" s="101">
        <f t="shared" si="1"/>
        <v>0.83863584098341215</v>
      </c>
    </row>
    <row r="27" spans="1:8">
      <c r="A27" s="1" t="s">
        <v>45</v>
      </c>
      <c r="B27" s="1" t="s">
        <v>46</v>
      </c>
      <c r="C27" s="27">
        <v>66.193839357429724</v>
      </c>
      <c r="D27" s="28">
        <f t="shared" si="0"/>
        <v>66193.839357429722</v>
      </c>
      <c r="E27" s="1" t="s">
        <v>30</v>
      </c>
      <c r="F27" s="29">
        <v>15.4588</v>
      </c>
      <c r="G27" s="30">
        <v>1.3058999999999994</v>
      </c>
      <c r="H27" s="101">
        <f t="shared" si="1"/>
        <v>0.6995118297167473</v>
      </c>
    </row>
    <row r="28" spans="1:8">
      <c r="A28" s="1" t="s">
        <v>45</v>
      </c>
      <c r="B28" s="1" t="s">
        <v>46</v>
      </c>
      <c r="C28" s="27">
        <v>66.201028112449805</v>
      </c>
      <c r="D28" s="28">
        <f t="shared" si="0"/>
        <v>66201.0281124498</v>
      </c>
      <c r="E28" s="1" t="s">
        <v>30</v>
      </c>
      <c r="F28" s="29">
        <v>15.5588</v>
      </c>
      <c r="G28" s="30">
        <v>1.405899999999999</v>
      </c>
      <c r="H28" s="101">
        <f t="shared" si="1"/>
        <v>0.83753168216383556</v>
      </c>
    </row>
    <row r="29" spans="1:8">
      <c r="A29" s="1" t="s">
        <v>45</v>
      </c>
      <c r="B29" s="1" t="s">
        <v>46</v>
      </c>
      <c r="C29" s="27">
        <v>66.208216867469886</v>
      </c>
      <c r="D29" s="28">
        <f t="shared" si="0"/>
        <v>66208.216867469891</v>
      </c>
      <c r="E29" s="1" t="s">
        <v>30</v>
      </c>
      <c r="F29" s="29">
        <v>15.668799999999999</v>
      </c>
      <c r="G29" s="30">
        <v>1.5158999999999985</v>
      </c>
      <c r="H29" s="101">
        <f t="shared" si="1"/>
        <v>0.98935351985563247</v>
      </c>
    </row>
    <row r="30" spans="1:8">
      <c r="A30" s="1" t="s">
        <v>45</v>
      </c>
      <c r="B30" s="1" t="s">
        <v>46</v>
      </c>
      <c r="C30" s="27">
        <v>66.211811244979927</v>
      </c>
      <c r="D30" s="28">
        <f t="shared" si="0"/>
        <v>66211.811244979923</v>
      </c>
      <c r="E30" s="1" t="s">
        <v>30</v>
      </c>
      <c r="F30" s="29">
        <v>15.246600000000001</v>
      </c>
      <c r="G30" s="30">
        <v>1.0937000000000001</v>
      </c>
      <c r="H30" s="101">
        <f t="shared" si="1"/>
        <v>0.40663370282402606</v>
      </c>
    </row>
    <row r="31" spans="1:8">
      <c r="A31" s="1" t="s">
        <v>45</v>
      </c>
      <c r="B31" s="1" t="s">
        <v>46</v>
      </c>
      <c r="C31" s="27">
        <v>66.214686746987951</v>
      </c>
      <c r="D31" s="28">
        <f t="shared" si="0"/>
        <v>66214.686746987951</v>
      </c>
      <c r="E31" s="1" t="s">
        <v>30</v>
      </c>
      <c r="F31" s="29">
        <v>15.2464</v>
      </c>
      <c r="G31" s="30">
        <v>1.0934999999999988</v>
      </c>
      <c r="H31" s="101">
        <f t="shared" si="1"/>
        <v>0.40635766311913007</v>
      </c>
    </row>
    <row r="32" spans="1:8">
      <c r="A32" s="1" t="s">
        <v>45</v>
      </c>
      <c r="B32" s="1" t="s">
        <v>46</v>
      </c>
      <c r="C32" s="27">
        <v>66.221875502008032</v>
      </c>
      <c r="D32" s="28">
        <f t="shared" si="0"/>
        <v>66221.875502008028</v>
      </c>
      <c r="E32" s="1" t="s">
        <v>30</v>
      </c>
      <c r="F32" s="29">
        <v>15.7582</v>
      </c>
      <c r="G32" s="30">
        <v>1.6052999999999997</v>
      </c>
      <c r="H32" s="101">
        <f t="shared" si="1"/>
        <v>1.1127432679433316</v>
      </c>
    </row>
    <row r="33" spans="1:8">
      <c r="A33" s="1" t="s">
        <v>45</v>
      </c>
      <c r="B33" s="1" t="s">
        <v>46</v>
      </c>
      <c r="C33" s="27">
        <v>66.229064257028114</v>
      </c>
      <c r="D33" s="28">
        <f t="shared" si="0"/>
        <v>66229.06425702812</v>
      </c>
      <c r="E33" s="1" t="s">
        <v>30</v>
      </c>
      <c r="F33" s="29">
        <v>16.581399999999999</v>
      </c>
      <c r="G33" s="30">
        <v>2.4284999999999979</v>
      </c>
      <c r="H33" s="101">
        <f t="shared" si="1"/>
        <v>2.2489226932877635</v>
      </c>
    </row>
    <row r="34" spans="1:8">
      <c r="A34" s="1" t="s">
        <v>45</v>
      </c>
      <c r="B34" s="1" t="s">
        <v>46</v>
      </c>
      <c r="C34" s="27">
        <v>66.234096385542173</v>
      </c>
      <c r="D34" s="28">
        <f t="shared" ref="D34:D65" si="2">C34*1000</f>
        <v>66234.096385542172</v>
      </c>
      <c r="E34" s="1" t="s">
        <v>30</v>
      </c>
      <c r="F34" s="29">
        <v>15.867900000000001</v>
      </c>
      <c r="G34" s="30">
        <v>1.7149999999999999</v>
      </c>
      <c r="H34" s="101">
        <f t="shared" si="1"/>
        <v>1.2641510460777881</v>
      </c>
    </row>
    <row r="35" spans="1:8">
      <c r="A35" s="1" t="s">
        <v>45</v>
      </c>
      <c r="B35" s="1" t="s">
        <v>46</v>
      </c>
      <c r="C35" s="27">
        <v>66.239128514056233</v>
      </c>
      <c r="D35" s="28">
        <f t="shared" si="2"/>
        <v>66239.12851405624</v>
      </c>
      <c r="E35" s="1" t="s">
        <v>30</v>
      </c>
      <c r="F35" s="29">
        <v>14.7425</v>
      </c>
      <c r="G35" s="30">
        <v>0.58959999999999901</v>
      </c>
      <c r="H35" s="101">
        <f t="shared" si="1"/>
        <v>-0.28912437336174984</v>
      </c>
    </row>
    <row r="36" spans="1:8">
      <c r="A36" s="1" t="s">
        <v>45</v>
      </c>
      <c r="B36" s="1" t="s">
        <v>46</v>
      </c>
      <c r="C36" s="27">
        <v>66.247755020080319</v>
      </c>
      <c r="D36" s="28">
        <f t="shared" si="2"/>
        <v>66247.755020080323</v>
      </c>
      <c r="E36" s="1" t="s">
        <v>30</v>
      </c>
      <c r="F36" s="29">
        <v>14.862500000000001</v>
      </c>
      <c r="G36" s="30">
        <v>0.70960000000000001</v>
      </c>
      <c r="H36" s="101">
        <f t="shared" si="1"/>
        <v>-0.12350055042524197</v>
      </c>
    </row>
    <row r="37" spans="1:8">
      <c r="A37" s="1" t="s">
        <v>45</v>
      </c>
      <c r="B37" s="1" t="s">
        <v>46</v>
      </c>
      <c r="C37" s="27">
        <v>66.254943775100401</v>
      </c>
      <c r="D37" s="28">
        <f t="shared" si="2"/>
        <v>66254.943775100401</v>
      </c>
      <c r="E37" s="1" t="s">
        <v>30</v>
      </c>
      <c r="F37" s="29">
        <v>15.545</v>
      </c>
      <c r="G37" s="30">
        <v>1.3920999999999992</v>
      </c>
      <c r="H37" s="101">
        <f t="shared" si="1"/>
        <v>0.81848494252613757</v>
      </c>
    </row>
    <row r="38" spans="1:8">
      <c r="A38" s="1" t="s">
        <v>45</v>
      </c>
      <c r="B38" s="1" t="s">
        <v>46</v>
      </c>
      <c r="C38" s="27">
        <v>66.262132530120482</v>
      </c>
      <c r="D38" s="28">
        <f t="shared" si="2"/>
        <v>66262.132530120478</v>
      </c>
      <c r="E38" s="1" t="s">
        <v>30</v>
      </c>
      <c r="F38" s="29">
        <v>15.0524</v>
      </c>
      <c r="G38" s="30">
        <v>0.89949999999999974</v>
      </c>
      <c r="H38" s="101">
        <f t="shared" si="1"/>
        <v>0.1385991493717792</v>
      </c>
    </row>
    <row r="39" spans="1:8">
      <c r="A39" s="1" t="s">
        <v>45</v>
      </c>
      <c r="B39" s="1" t="s">
        <v>46</v>
      </c>
      <c r="C39" s="27">
        <v>66.269321285140563</v>
      </c>
      <c r="D39" s="28">
        <f t="shared" si="2"/>
        <v>66269.32128514057</v>
      </c>
      <c r="E39" s="1" t="s">
        <v>30</v>
      </c>
      <c r="F39" s="29">
        <v>14.921200000000001</v>
      </c>
      <c r="G39" s="30">
        <v>0.76829999999999998</v>
      </c>
      <c r="H39" s="101">
        <f t="shared" si="1"/>
        <v>-4.2482897038800913E-2</v>
      </c>
    </row>
    <row r="40" spans="1:8">
      <c r="A40" s="1" t="s">
        <v>45</v>
      </c>
      <c r="B40" s="1" t="s">
        <v>46</v>
      </c>
      <c r="C40" s="27">
        <v>66.276510040160645</v>
      </c>
      <c r="D40" s="28">
        <f t="shared" si="2"/>
        <v>66276.510040160647</v>
      </c>
      <c r="E40" s="1" t="s">
        <v>30</v>
      </c>
      <c r="F40" s="29">
        <v>14.6396</v>
      </c>
      <c r="G40" s="30">
        <v>0.48669999999999902</v>
      </c>
      <c r="H40" s="101">
        <f t="shared" si="1"/>
        <v>-0.43114680152980411</v>
      </c>
    </row>
    <row r="41" spans="1:8">
      <c r="A41" s="1" t="s">
        <v>45</v>
      </c>
      <c r="B41" s="1" t="s">
        <v>46</v>
      </c>
      <c r="C41" s="27">
        <v>66.283698795180726</v>
      </c>
      <c r="D41" s="28">
        <f t="shared" si="2"/>
        <v>66283.698795180724</v>
      </c>
      <c r="E41" s="1" t="s">
        <v>30</v>
      </c>
      <c r="F41" s="29">
        <v>14.6591</v>
      </c>
      <c r="G41" s="30">
        <v>0.50619999999999976</v>
      </c>
      <c r="H41" s="101">
        <f t="shared" si="1"/>
        <v>-0.40423293030262081</v>
      </c>
    </row>
    <row r="42" spans="1:8">
      <c r="A42" s="1" t="s">
        <v>45</v>
      </c>
      <c r="B42" s="1" t="s">
        <v>46</v>
      </c>
      <c r="C42" s="27">
        <v>66.290887550200807</v>
      </c>
      <c r="D42" s="28">
        <f t="shared" si="2"/>
        <v>66290.887550200801</v>
      </c>
      <c r="E42" s="1" t="s">
        <v>30</v>
      </c>
      <c r="F42" s="29">
        <v>15.462300000000001</v>
      </c>
      <c r="G42" s="30">
        <v>1.3094000000000001</v>
      </c>
      <c r="H42" s="101">
        <f t="shared" si="1"/>
        <v>0.70434252455239643</v>
      </c>
    </row>
    <row r="43" spans="1:8">
      <c r="A43" s="1" t="s">
        <v>45</v>
      </c>
      <c r="B43" s="1" t="s">
        <v>46</v>
      </c>
      <c r="C43" s="27">
        <v>66.298076305220889</v>
      </c>
      <c r="D43" s="28">
        <f t="shared" si="2"/>
        <v>66298.076305220893</v>
      </c>
      <c r="E43" s="1" t="s">
        <v>30</v>
      </c>
      <c r="F43" s="29">
        <v>14.4373</v>
      </c>
      <c r="G43" s="30">
        <v>0.28439999999999976</v>
      </c>
      <c r="H43" s="101">
        <f t="shared" si="1"/>
        <v>-0.71036096303026364</v>
      </c>
    </row>
    <row r="44" spans="1:8">
      <c r="A44" s="1" t="s">
        <v>45</v>
      </c>
      <c r="B44" s="1" t="s">
        <v>46</v>
      </c>
      <c r="C44" s="27">
        <v>66.305265060240956</v>
      </c>
      <c r="D44" s="28">
        <f t="shared" si="2"/>
        <v>66305.265060240956</v>
      </c>
      <c r="E44" s="1" t="s">
        <v>30</v>
      </c>
      <c r="F44" s="29">
        <v>15.3408</v>
      </c>
      <c r="G44" s="30">
        <v>1.1878999999999991</v>
      </c>
      <c r="H44" s="101">
        <f t="shared" si="1"/>
        <v>0.53664840382918222</v>
      </c>
    </row>
    <row r="45" spans="1:8">
      <c r="A45" s="1" t="s">
        <v>45</v>
      </c>
      <c r="B45" s="1" t="s">
        <v>46</v>
      </c>
      <c r="C45" s="27">
        <v>66.312453815261037</v>
      </c>
      <c r="D45" s="28">
        <f t="shared" si="2"/>
        <v>66312.453815261033</v>
      </c>
      <c r="E45" s="1" t="s">
        <v>30</v>
      </c>
      <c r="F45" s="29">
        <v>15.742100000000001</v>
      </c>
      <c r="G45" s="30">
        <v>1.5891999999999999</v>
      </c>
      <c r="H45" s="101">
        <f t="shared" si="1"/>
        <v>1.0905220716993504</v>
      </c>
    </row>
    <row r="46" spans="1:8">
      <c r="A46" s="1" t="s">
        <v>45</v>
      </c>
      <c r="B46" s="1" t="s">
        <v>46</v>
      </c>
      <c r="C46" s="27">
        <v>66.319642570281118</v>
      </c>
      <c r="D46" s="28">
        <f t="shared" si="2"/>
        <v>66319.642570281125</v>
      </c>
      <c r="E46" s="1" t="s">
        <v>30</v>
      </c>
      <c r="F46" s="29">
        <v>16.1434</v>
      </c>
      <c r="G46" s="30">
        <v>1.990499999999999</v>
      </c>
      <c r="H46" s="101">
        <f t="shared" si="1"/>
        <v>1.6443957395695163</v>
      </c>
    </row>
    <row r="47" spans="1:8">
      <c r="A47" s="1" t="s">
        <v>45</v>
      </c>
      <c r="B47" s="1" t="s">
        <v>46</v>
      </c>
      <c r="C47" s="27">
        <v>66.3268313253012</v>
      </c>
      <c r="D47" s="28">
        <f t="shared" si="2"/>
        <v>66326.831325301202</v>
      </c>
      <c r="E47" s="1" t="s">
        <v>30</v>
      </c>
      <c r="F47" s="29">
        <v>14.957599999999999</v>
      </c>
      <c r="G47" s="30">
        <v>0.80469999999999864</v>
      </c>
      <c r="H47" s="101">
        <f t="shared" si="1"/>
        <v>7.7563292519375361E-3</v>
      </c>
    </row>
    <row r="48" spans="1:8">
      <c r="A48" s="1" t="s">
        <v>45</v>
      </c>
      <c r="B48" s="1" t="s">
        <v>46</v>
      </c>
      <c r="C48" s="27">
        <v>66.334738955823298</v>
      </c>
      <c r="D48" s="28">
        <f t="shared" si="2"/>
        <v>66334.738955823297</v>
      </c>
      <c r="E48" s="1" t="s">
        <v>30</v>
      </c>
      <c r="F48" s="29">
        <v>17.0867</v>
      </c>
      <c r="G48" s="30">
        <v>2.9337999999999997</v>
      </c>
      <c r="H48" s="101">
        <f t="shared" si="1"/>
        <v>2.9463370077029056</v>
      </c>
    </row>
    <row r="49" spans="1:8">
      <c r="A49" s="1" t="s">
        <v>45</v>
      </c>
      <c r="B49" s="1" t="s">
        <v>46</v>
      </c>
      <c r="C49" s="27">
        <v>66.342646586345381</v>
      </c>
      <c r="D49" s="28">
        <f t="shared" si="2"/>
        <v>66342.646586345378</v>
      </c>
      <c r="E49" s="1" t="s">
        <v>30</v>
      </c>
      <c r="F49" s="29">
        <v>15.2378</v>
      </c>
      <c r="G49" s="30">
        <v>1.0848999999999993</v>
      </c>
      <c r="H49" s="101">
        <f t="shared" si="1"/>
        <v>0.39448795580868112</v>
      </c>
    </row>
    <row r="50" spans="1:8">
      <c r="A50" s="1" t="s">
        <v>45</v>
      </c>
      <c r="B50" s="1" t="s">
        <v>46</v>
      </c>
      <c r="C50" s="27">
        <v>66.349116465863446</v>
      </c>
      <c r="D50" s="28">
        <f t="shared" si="2"/>
        <v>66349.116465863452</v>
      </c>
      <c r="E50" s="1" t="s">
        <v>30</v>
      </c>
      <c r="F50" s="29">
        <v>14.6347</v>
      </c>
      <c r="G50" s="30">
        <v>0.48179999999999978</v>
      </c>
      <c r="H50" s="101">
        <f t="shared" si="1"/>
        <v>-0.43790977429971045</v>
      </c>
    </row>
    <row r="51" spans="1:8">
      <c r="A51" s="1" t="s">
        <v>45</v>
      </c>
      <c r="B51" s="1" t="s">
        <v>46</v>
      </c>
      <c r="C51" s="27">
        <v>66.358461847389549</v>
      </c>
      <c r="D51" s="28">
        <f t="shared" si="2"/>
        <v>66358.461847389553</v>
      </c>
      <c r="E51" s="1" t="s">
        <v>30</v>
      </c>
      <c r="F51" s="29">
        <v>15.0358</v>
      </c>
      <c r="G51" s="30">
        <v>0.88289999999999935</v>
      </c>
      <c r="H51" s="101">
        <f t="shared" si="1"/>
        <v>0.11568785386556192</v>
      </c>
    </row>
    <row r="52" spans="1:8">
      <c r="A52" s="1" t="s">
        <v>45</v>
      </c>
      <c r="B52" s="1" t="s">
        <v>46</v>
      </c>
      <c r="C52" s="27">
        <v>66.363493975903609</v>
      </c>
      <c r="D52" s="28">
        <f t="shared" si="2"/>
        <v>66363.493975903606</v>
      </c>
      <c r="E52" s="1" t="s">
        <v>30</v>
      </c>
      <c r="F52" s="29">
        <v>14.8346</v>
      </c>
      <c r="G52" s="30">
        <v>0.68169999999999931</v>
      </c>
      <c r="H52" s="101">
        <f t="shared" si="1"/>
        <v>-0.16200808925798069</v>
      </c>
    </row>
    <row r="53" spans="1:8">
      <c r="A53" s="1" t="s">
        <v>45</v>
      </c>
      <c r="B53" s="1" t="s">
        <v>46</v>
      </c>
      <c r="C53" s="27">
        <v>66.369963855421688</v>
      </c>
      <c r="D53" s="28">
        <f t="shared" si="2"/>
        <v>66369.963855421694</v>
      </c>
      <c r="E53" s="1" t="s">
        <v>30</v>
      </c>
      <c r="F53" s="29">
        <v>15.1556</v>
      </c>
      <c r="G53" s="30">
        <v>1.002699999999999</v>
      </c>
      <c r="H53" s="101">
        <f t="shared" si="1"/>
        <v>0.28103563709717377</v>
      </c>
    </row>
    <row r="54" spans="1:8">
      <c r="A54" s="1" t="s">
        <v>45</v>
      </c>
      <c r="B54" s="1" t="s">
        <v>46</v>
      </c>
      <c r="C54" s="27">
        <v>66.377152610441769</v>
      </c>
      <c r="D54" s="28">
        <f t="shared" si="2"/>
        <v>66377.152610441772</v>
      </c>
      <c r="E54" s="1" t="s">
        <v>30</v>
      </c>
      <c r="F54" s="29">
        <v>14.652900000000001</v>
      </c>
      <c r="G54" s="30">
        <v>0.5</v>
      </c>
      <c r="H54" s="101">
        <f t="shared" si="1"/>
        <v>-0.41279016115433997</v>
      </c>
    </row>
    <row r="55" spans="1:8">
      <c r="A55" s="1" t="s">
        <v>45</v>
      </c>
      <c r="B55" s="1" t="s">
        <v>46</v>
      </c>
      <c r="C55" s="27">
        <v>66.38434136546185</v>
      </c>
      <c r="D55" s="28">
        <f t="shared" si="2"/>
        <v>66384.341365461849</v>
      </c>
      <c r="E55" s="1" t="s">
        <v>30</v>
      </c>
      <c r="F55" s="29">
        <v>15.6568</v>
      </c>
      <c r="G55" s="30">
        <v>1.5038999999999998</v>
      </c>
      <c r="H55" s="101">
        <f t="shared" si="1"/>
        <v>0.97279113756198365</v>
      </c>
    </row>
    <row r="56" spans="1:8">
      <c r="A56" s="1" t="s">
        <v>45</v>
      </c>
      <c r="B56" s="1" t="s">
        <v>46</v>
      </c>
      <c r="C56" s="27">
        <v>66.391530120481931</v>
      </c>
      <c r="D56" s="28">
        <f t="shared" si="2"/>
        <v>66391.530120481926</v>
      </c>
      <c r="E56" s="1" t="s">
        <v>30</v>
      </c>
      <c r="F56" s="29">
        <v>15.134</v>
      </c>
      <c r="G56" s="30">
        <v>0.98109999999999964</v>
      </c>
      <c r="H56" s="101">
        <f t="shared" si="1"/>
        <v>0.25122334896860343</v>
      </c>
    </row>
    <row r="57" spans="1:8">
      <c r="A57" s="1" t="s">
        <v>45</v>
      </c>
      <c r="B57" s="1" t="s">
        <v>46</v>
      </c>
      <c r="C57" s="27">
        <v>66.395843373493975</v>
      </c>
      <c r="D57" s="28">
        <f t="shared" si="2"/>
        <v>66395.843373493975</v>
      </c>
      <c r="E57" s="1" t="s">
        <v>30</v>
      </c>
      <c r="F57" s="29">
        <v>15.455299999999999</v>
      </c>
      <c r="G57" s="30">
        <v>1.3023999999999987</v>
      </c>
      <c r="H57" s="101">
        <f t="shared" si="1"/>
        <v>0.69468113488109828</v>
      </c>
    </row>
    <row r="58" spans="1:8">
      <c r="A58" s="1" t="s">
        <v>45</v>
      </c>
      <c r="B58" s="1" t="s">
        <v>46</v>
      </c>
      <c r="C58" s="27">
        <v>66.398973997833153</v>
      </c>
      <c r="D58" s="28">
        <f t="shared" si="2"/>
        <v>66398.973997833149</v>
      </c>
      <c r="E58" s="1" t="s">
        <v>30</v>
      </c>
      <c r="F58" s="29">
        <v>15.213900000000001</v>
      </c>
      <c r="G58" s="30">
        <v>1.0609999999999999</v>
      </c>
      <c r="H58" s="101">
        <f t="shared" si="1"/>
        <v>0.36150121107382777</v>
      </c>
    </row>
    <row r="59" spans="1:8">
      <c r="A59" s="1" t="s">
        <v>45</v>
      </c>
      <c r="B59" s="1" t="s">
        <v>46</v>
      </c>
      <c r="C59" s="27">
        <v>66.408713976164677</v>
      </c>
      <c r="D59" s="28">
        <f t="shared" si="2"/>
        <v>66408.713976164683</v>
      </c>
      <c r="E59" s="1" t="s">
        <v>30</v>
      </c>
      <c r="F59" s="29">
        <v>15.354100000000001</v>
      </c>
      <c r="G59" s="30">
        <v>1.2012</v>
      </c>
      <c r="H59" s="101">
        <f t="shared" si="1"/>
        <v>0.55500504420464636</v>
      </c>
    </row>
    <row r="60" spans="1:8">
      <c r="A60" s="1" t="s">
        <v>45</v>
      </c>
      <c r="B60" s="1" t="s">
        <v>46</v>
      </c>
      <c r="C60" s="27">
        <v>66.418453954496201</v>
      </c>
      <c r="D60" s="28">
        <f t="shared" si="2"/>
        <v>66418.453954496203</v>
      </c>
      <c r="E60" s="1" t="s">
        <v>30</v>
      </c>
      <c r="F60" s="29">
        <v>14.831300000000001</v>
      </c>
      <c r="G60" s="30">
        <v>0.67839999999999989</v>
      </c>
      <c r="H60" s="101">
        <f t="shared" si="1"/>
        <v>-0.16656274438873381</v>
      </c>
    </row>
    <row r="61" spans="1:8">
      <c r="A61" s="1" t="s">
        <v>45</v>
      </c>
      <c r="B61" s="1" t="s">
        <v>46</v>
      </c>
      <c r="C61" s="27">
        <v>66.428193932827739</v>
      </c>
      <c r="D61" s="28">
        <f t="shared" si="2"/>
        <v>66428.193932827737</v>
      </c>
      <c r="E61" s="1" t="s">
        <v>30</v>
      </c>
      <c r="F61" s="29">
        <v>14.7102</v>
      </c>
      <c r="G61" s="30">
        <v>0.55729999999999968</v>
      </c>
      <c r="H61" s="101">
        <f t="shared" si="1"/>
        <v>-0.33370478570215856</v>
      </c>
    </row>
    <row r="62" spans="1:8">
      <c r="A62" s="1" t="s">
        <v>45</v>
      </c>
      <c r="B62" s="1" t="s">
        <v>46</v>
      </c>
      <c r="C62" s="27">
        <v>66.437933911159263</v>
      </c>
      <c r="D62" s="28">
        <f t="shared" si="2"/>
        <v>66437.933911159256</v>
      </c>
      <c r="E62" s="1" t="s">
        <v>30</v>
      </c>
      <c r="F62" s="29">
        <v>13.6851</v>
      </c>
      <c r="G62" s="30">
        <v>-0.46780000000000044</v>
      </c>
      <c r="H62" s="101">
        <f t="shared" si="1"/>
        <v>-1.7485462931372655</v>
      </c>
    </row>
    <row r="63" spans="1:8">
      <c r="A63" s="1" t="s">
        <v>45</v>
      </c>
      <c r="B63" s="1" t="s">
        <v>46</v>
      </c>
      <c r="C63" s="27">
        <v>66.447673889490787</v>
      </c>
      <c r="D63" s="28">
        <f t="shared" si="2"/>
        <v>66447.67388949079</v>
      </c>
      <c r="E63" s="1" t="s">
        <v>30</v>
      </c>
      <c r="F63" s="29">
        <v>14.9504</v>
      </c>
      <c r="G63" s="30">
        <v>0.79749999999999943</v>
      </c>
      <c r="H63" s="101">
        <f t="shared" si="1"/>
        <v>-2.1811001242517587E-3</v>
      </c>
    </row>
    <row r="64" spans="1:8">
      <c r="A64" s="1" t="s">
        <v>45</v>
      </c>
      <c r="B64" s="1" t="s">
        <v>46</v>
      </c>
      <c r="C64" s="27">
        <v>66.457413867822311</v>
      </c>
      <c r="D64" s="28">
        <f t="shared" si="2"/>
        <v>66457.41386782231</v>
      </c>
      <c r="E64" s="1" t="s">
        <v>30</v>
      </c>
      <c r="F64" s="29">
        <v>14.8293</v>
      </c>
      <c r="G64" s="30">
        <v>0.67639999999999922</v>
      </c>
      <c r="H64" s="101">
        <f t="shared" si="1"/>
        <v>-0.16932314143767652</v>
      </c>
    </row>
    <row r="65" spans="1:8">
      <c r="A65" s="1" t="s">
        <v>45</v>
      </c>
      <c r="B65" s="1" t="s">
        <v>46</v>
      </c>
      <c r="C65" s="27">
        <v>66.467153846153835</v>
      </c>
      <c r="D65" s="28">
        <f t="shared" si="2"/>
        <v>66467.153846153829</v>
      </c>
      <c r="E65" s="1" t="s">
        <v>30</v>
      </c>
      <c r="F65" s="29">
        <v>14.628</v>
      </c>
      <c r="G65" s="30">
        <v>0.47509999999999941</v>
      </c>
      <c r="H65" s="101">
        <f t="shared" si="1"/>
        <v>-0.44715710441366591</v>
      </c>
    </row>
    <row r="66" spans="1:8">
      <c r="A66" s="1" t="s">
        <v>45</v>
      </c>
      <c r="B66" s="1" t="s">
        <v>46</v>
      </c>
      <c r="C66" s="27">
        <v>66.476893824485373</v>
      </c>
      <c r="D66" s="28">
        <f t="shared" ref="D66:D72" si="3">C66*1000</f>
        <v>66476.893824485378</v>
      </c>
      <c r="E66" s="1" t="s">
        <v>30</v>
      </c>
      <c r="F66" s="29">
        <v>14.305999999999999</v>
      </c>
      <c r="G66" s="30">
        <v>0.15309999999999846</v>
      </c>
      <c r="H66" s="101">
        <f t="shared" si="1"/>
        <v>-0.89158102929329297</v>
      </c>
    </row>
    <row r="67" spans="1:8">
      <c r="A67" s="1" t="s">
        <v>45</v>
      </c>
      <c r="B67" s="1" t="s">
        <v>46</v>
      </c>
      <c r="C67" s="27">
        <v>66.484685807150598</v>
      </c>
      <c r="D67" s="28">
        <f t="shared" si="3"/>
        <v>66484.685807150599</v>
      </c>
      <c r="E67" s="1" t="s">
        <v>30</v>
      </c>
      <c r="F67" s="29">
        <v>14.908200000000001</v>
      </c>
      <c r="G67" s="30">
        <v>0.75530000000000008</v>
      </c>
      <c r="H67" s="101">
        <f t="shared" ref="H67:H72" si="4">(F67-14.95198028)/0.724533451</f>
        <v>-6.0425477856922309E-2</v>
      </c>
    </row>
    <row r="68" spans="1:8">
      <c r="A68" s="1" t="s">
        <v>45</v>
      </c>
      <c r="B68" s="1" t="s">
        <v>46</v>
      </c>
      <c r="C68" s="27">
        <v>66.494425785482122</v>
      </c>
      <c r="D68" s="28">
        <f t="shared" si="3"/>
        <v>66494.425785482119</v>
      </c>
      <c r="E68" s="1" t="s">
        <v>30</v>
      </c>
      <c r="F68" s="29">
        <v>15.3498</v>
      </c>
      <c r="G68" s="30">
        <v>1.1968999999999994</v>
      </c>
      <c r="H68" s="101">
        <f t="shared" si="4"/>
        <v>0.54907019054942063</v>
      </c>
    </row>
    <row r="69" spans="1:8">
      <c r="A69" s="1" t="s">
        <v>45</v>
      </c>
      <c r="B69" s="1" t="s">
        <v>46</v>
      </c>
      <c r="C69" s="27">
        <v>66.496373781148421</v>
      </c>
      <c r="D69" s="28">
        <f t="shared" si="3"/>
        <v>66496.373781148417</v>
      </c>
      <c r="E69" s="1" t="s">
        <v>30</v>
      </c>
      <c r="F69" s="29">
        <v>14.7067</v>
      </c>
      <c r="G69" s="30">
        <v>0.55379999999999896</v>
      </c>
      <c r="H69" s="101">
        <f t="shared" si="4"/>
        <v>-0.33853548053780769</v>
      </c>
    </row>
    <row r="70" spans="1:8">
      <c r="A70" s="1" t="s">
        <v>45</v>
      </c>
      <c r="B70" s="1" t="s">
        <v>46</v>
      </c>
      <c r="C70" s="27">
        <v>66.506113759479959</v>
      </c>
      <c r="D70" s="28">
        <f t="shared" si="3"/>
        <v>66506.113759479966</v>
      </c>
      <c r="E70" s="1" t="s">
        <v>30</v>
      </c>
      <c r="F70" s="29">
        <v>14.625999999999999</v>
      </c>
      <c r="G70" s="30">
        <v>0.47309999999999874</v>
      </c>
      <c r="H70" s="101">
        <f t="shared" si="4"/>
        <v>-0.44991750146260856</v>
      </c>
    </row>
    <row r="71" spans="1:8">
      <c r="A71" s="1" t="s">
        <v>45</v>
      </c>
      <c r="B71" s="1" t="s">
        <v>46</v>
      </c>
      <c r="C71" s="27">
        <v>66.512931744312027</v>
      </c>
      <c r="D71" s="28">
        <f t="shared" si="3"/>
        <v>66512.931744312024</v>
      </c>
      <c r="E71" s="1" t="s">
        <v>30</v>
      </c>
      <c r="F71" s="29">
        <v>15.348800000000001</v>
      </c>
      <c r="G71" s="30">
        <v>1.1959</v>
      </c>
      <c r="H71" s="101">
        <f t="shared" si="4"/>
        <v>0.5476899920249505</v>
      </c>
    </row>
    <row r="72" spans="1:8">
      <c r="A72" s="1" t="s">
        <v>45</v>
      </c>
      <c r="B72" s="1" t="s">
        <v>46</v>
      </c>
      <c r="C72" s="27">
        <v>66.523645720476708</v>
      </c>
      <c r="D72" s="28">
        <f t="shared" si="3"/>
        <v>66523.645720476707</v>
      </c>
      <c r="E72" s="1" t="s">
        <v>30</v>
      </c>
      <c r="F72" s="29">
        <v>15.1876</v>
      </c>
      <c r="G72" s="30">
        <v>1.0346999999999991</v>
      </c>
      <c r="H72" s="101">
        <f t="shared" si="4"/>
        <v>0.32520198988024224</v>
      </c>
    </row>
    <row r="73" spans="1:8">
      <c r="D73" s="31"/>
      <c r="F73" s="47">
        <f>AVERAGE(F2:F72)</f>
        <v>14.95198028169014</v>
      </c>
    </row>
    <row r="74" spans="1:8">
      <c r="D74" s="31"/>
      <c r="F74" s="48">
        <f>STDEV(F2:F72)</f>
        <v>0.72453345059714458</v>
      </c>
    </row>
    <row r="75" spans="1:8">
      <c r="D75" s="31"/>
    </row>
    <row r="76" spans="1:8">
      <c r="D76" s="31"/>
    </row>
    <row r="77" spans="1:8">
      <c r="D77" s="31"/>
    </row>
    <row r="78" spans="1:8">
      <c r="D78" s="31"/>
    </row>
    <row r="79" spans="1:8">
      <c r="D79" s="31"/>
    </row>
    <row r="80" spans="1:8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1"/>
    </row>
    <row r="88" spans="4:4">
      <c r="D88" s="31"/>
    </row>
    <row r="89" spans="4:4">
      <c r="D89" s="31"/>
    </row>
    <row r="90" spans="4:4">
      <c r="D90" s="31"/>
    </row>
    <row r="91" spans="4:4">
      <c r="D91" s="31"/>
    </row>
    <row r="92" spans="4:4">
      <c r="D92" s="31"/>
    </row>
    <row r="93" spans="4:4">
      <c r="D93" s="31"/>
    </row>
    <row r="94" spans="4:4">
      <c r="D94" s="31"/>
    </row>
    <row r="95" spans="4:4">
      <c r="D95" s="31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3"/>
    </row>
    <row r="158" spans="4:4">
      <c r="D158" s="33"/>
    </row>
    <row r="159" spans="4:4">
      <c r="D159" s="33"/>
    </row>
    <row r="160" spans="4:4">
      <c r="D160" s="33"/>
    </row>
    <row r="161" spans="4:4">
      <c r="D161" s="33"/>
    </row>
    <row r="162" spans="4:4">
      <c r="D162" s="33"/>
    </row>
    <row r="163" spans="4:4">
      <c r="D163" s="33"/>
    </row>
    <row r="164" spans="4:4">
      <c r="D164" s="33"/>
    </row>
    <row r="165" spans="4:4">
      <c r="D165" s="33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1"/>
    </row>
    <row r="230" spans="4:4">
      <c r="D230" s="31"/>
    </row>
    <row r="231" spans="4:4">
      <c r="D231" s="31"/>
    </row>
    <row r="232" spans="4:4">
      <c r="D232" s="31"/>
    </row>
    <row r="233" spans="4:4">
      <c r="D233" s="31"/>
    </row>
    <row r="234" spans="4:4">
      <c r="D234" s="31"/>
    </row>
    <row r="235" spans="4:4">
      <c r="D235" s="31"/>
    </row>
    <row r="236" spans="4:4">
      <c r="D236" s="31"/>
    </row>
    <row r="237" spans="4:4">
      <c r="D237" s="31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3"/>
    </row>
    <row r="245" spans="4:4">
      <c r="D245" s="33"/>
    </row>
    <row r="246" spans="4:4">
      <c r="D246" s="33"/>
    </row>
    <row r="247" spans="4:4">
      <c r="D247" s="33"/>
    </row>
    <row r="248" spans="4:4">
      <c r="D248" s="33"/>
    </row>
    <row r="249" spans="4:4">
      <c r="D249" s="33"/>
    </row>
    <row r="250" spans="4:4">
      <c r="D250" s="33"/>
    </row>
    <row r="251" spans="4:4">
      <c r="D251" s="33"/>
    </row>
    <row r="252" spans="4:4">
      <c r="D252" s="33"/>
    </row>
    <row r="253" spans="4:4">
      <c r="D253" s="33"/>
    </row>
    <row r="254" spans="4:4">
      <c r="D254" s="33"/>
    </row>
    <row r="255" spans="4:4">
      <c r="D255" s="33"/>
    </row>
    <row r="256" spans="4:4">
      <c r="D256" s="33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1"/>
    </row>
    <row r="317" spans="4:4">
      <c r="D317" s="31"/>
    </row>
    <row r="318" spans="4:4">
      <c r="D318" s="31"/>
    </row>
    <row r="319" spans="4:4">
      <c r="D319" s="31"/>
    </row>
    <row r="320" spans="4:4">
      <c r="D320" s="31"/>
    </row>
    <row r="321" spans="4:4">
      <c r="D321" s="31"/>
    </row>
    <row r="322" spans="4:4">
      <c r="D32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7" spans="4:4">
      <c r="D797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2" spans="4:4">
      <c r="D882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2" spans="4:4">
      <c r="D912" s="39"/>
    </row>
    <row r="913" spans="4:4">
      <c r="D913" s="39"/>
    </row>
    <row r="914" spans="4:4">
      <c r="D914" s="39"/>
    </row>
    <row r="915" spans="4:4">
      <c r="D915" s="39"/>
    </row>
    <row r="916" spans="4:4">
      <c r="D916" s="39"/>
    </row>
    <row r="917" spans="4:4">
      <c r="D917" s="39"/>
    </row>
    <row r="918" spans="4:4">
      <c r="D918" s="39"/>
    </row>
    <row r="919" spans="4:4">
      <c r="D919" s="39"/>
    </row>
    <row r="920" spans="4:4">
      <c r="D920" s="39"/>
    </row>
    <row r="921" spans="4:4">
      <c r="D921" s="39"/>
    </row>
    <row r="922" spans="4:4">
      <c r="D922" s="39"/>
    </row>
    <row r="923" spans="4:4">
      <c r="D923" s="39"/>
    </row>
    <row r="924" spans="4:4">
      <c r="D924" s="39"/>
    </row>
    <row r="925" spans="4:4">
      <c r="D925" s="39"/>
    </row>
    <row r="926" spans="4:4">
      <c r="D926" s="39"/>
    </row>
    <row r="927" spans="4:4">
      <c r="D927" s="39"/>
    </row>
    <row r="928" spans="4:4">
      <c r="D928" s="39"/>
    </row>
    <row r="929" spans="4:4">
      <c r="D929" s="39"/>
    </row>
    <row r="930" spans="4:4">
      <c r="D930" s="39"/>
    </row>
    <row r="931" spans="4:4">
      <c r="D931" s="39"/>
    </row>
    <row r="932" spans="4:4">
      <c r="D932" s="39"/>
    </row>
    <row r="933" spans="4:4">
      <c r="D933" s="39"/>
    </row>
    <row r="934" spans="4:4">
      <c r="D934" s="39"/>
    </row>
    <row r="935" spans="4:4">
      <c r="D935" s="39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3" spans="4:4">
      <c r="D983" s="31"/>
    </row>
    <row r="984" spans="4:4">
      <c r="D984" s="31"/>
    </row>
    <row r="985" spans="4:4">
      <c r="D985" s="31"/>
    </row>
    <row r="986" spans="4:4">
      <c r="D986" s="31"/>
    </row>
    <row r="987" spans="4:4">
      <c r="D987" s="31"/>
    </row>
    <row r="988" spans="4:4">
      <c r="D988" s="31"/>
    </row>
    <row r="989" spans="4:4">
      <c r="D989" s="31"/>
    </row>
    <row r="990" spans="4:4">
      <c r="D990" s="31"/>
    </row>
    <row r="991" spans="4:4">
      <c r="D991" s="31"/>
    </row>
    <row r="992" spans="4:4">
      <c r="D992" s="31"/>
    </row>
    <row r="993" spans="4:4">
      <c r="D993" s="31"/>
    </row>
    <row r="994" spans="4:4">
      <c r="D994" s="31"/>
    </row>
    <row r="995" spans="4:4">
      <c r="D995" s="31"/>
    </row>
    <row r="996" spans="4:4">
      <c r="D996" s="31"/>
    </row>
    <row r="998" spans="4:4">
      <c r="D998" s="31"/>
    </row>
    <row r="999" spans="4:4">
      <c r="D999" s="31"/>
    </row>
    <row r="1000" spans="4:4">
      <c r="D1000" s="31"/>
    </row>
    <row r="1001" spans="4:4">
      <c r="D1001" s="31"/>
    </row>
    <row r="1002" spans="4:4">
      <c r="D1002" s="31"/>
    </row>
    <row r="1003" spans="4:4">
      <c r="D1003" s="31"/>
    </row>
    <row r="1004" spans="4:4">
      <c r="D1004" s="31"/>
    </row>
    <row r="1005" spans="4:4">
      <c r="D1005" s="31"/>
    </row>
    <row r="1006" spans="4:4">
      <c r="D1006" s="31"/>
    </row>
    <row r="1007" spans="4:4">
      <c r="D1007" s="31"/>
    </row>
    <row r="1008" spans="4:4">
      <c r="D1008" s="31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69" spans="4:4">
      <c r="D1069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  <row r="1308" spans="4:4">
      <c r="D1308" s="31"/>
    </row>
    <row r="1309" spans="4:4">
      <c r="D1309" s="31"/>
    </row>
    <row r="1310" spans="4:4">
      <c r="D1310" s="31"/>
    </row>
    <row r="1311" spans="4:4">
      <c r="D1311" s="31"/>
    </row>
    <row r="1312" spans="4:4">
      <c r="D1312" s="31"/>
    </row>
    <row r="1313" spans="4:4">
      <c r="D1313" s="31"/>
    </row>
    <row r="1314" spans="4:4">
      <c r="D1314" s="31"/>
    </row>
    <row r="1315" spans="4:4">
      <c r="D1315" s="31"/>
    </row>
    <row r="1316" spans="4:4">
      <c r="D1316" s="31"/>
    </row>
    <row r="1317" spans="4:4">
      <c r="D1317" s="31"/>
    </row>
    <row r="1318" spans="4:4">
      <c r="D1318" s="31"/>
    </row>
    <row r="1319" spans="4:4">
      <c r="D1319" s="31"/>
    </row>
    <row r="1320" spans="4:4">
      <c r="D1320" s="31"/>
    </row>
    <row r="1321" spans="4:4">
      <c r="D1321" s="31"/>
    </row>
    <row r="1322" spans="4:4">
      <c r="D1322" s="31"/>
    </row>
    <row r="1323" spans="4:4">
      <c r="D1323" s="31"/>
    </row>
    <row r="1324" spans="4:4">
      <c r="D1324" s="31"/>
    </row>
    <row r="1325" spans="4:4">
      <c r="D1325" s="31"/>
    </row>
    <row r="1326" spans="4:4">
      <c r="D1326" s="31"/>
    </row>
    <row r="1327" spans="4:4">
      <c r="D1327" s="31"/>
    </row>
    <row r="1328" spans="4:4">
      <c r="D1328" s="31"/>
    </row>
    <row r="1329" spans="4:4">
      <c r="D1329" s="31"/>
    </row>
    <row r="1330" spans="4:4">
      <c r="D1330" s="31"/>
    </row>
    <row r="1331" spans="4:4">
      <c r="D1331" s="31"/>
    </row>
    <row r="1332" spans="4:4">
      <c r="D1332" s="31"/>
    </row>
    <row r="1333" spans="4:4">
      <c r="D1333" s="31"/>
    </row>
    <row r="1334" spans="4:4">
      <c r="D1334" s="31"/>
    </row>
    <row r="1335" spans="4:4">
      <c r="D1335" s="31"/>
    </row>
    <row r="1336" spans="4:4">
      <c r="D1336" s="31"/>
    </row>
    <row r="1337" spans="4:4">
      <c r="D1337" s="31"/>
    </row>
    <row r="1338" spans="4:4">
      <c r="D1338" s="31"/>
    </row>
    <row r="1339" spans="4:4">
      <c r="D1339" s="31"/>
    </row>
    <row r="1340" spans="4:4">
      <c r="D1340" s="31"/>
    </row>
    <row r="1341" spans="4:4">
      <c r="D1341" s="31"/>
    </row>
    <row r="1342" spans="4:4">
      <c r="D1342" s="31"/>
    </row>
    <row r="1343" spans="4:4">
      <c r="D1343" s="31"/>
    </row>
  </sheetData>
  <phoneticPr fontId="1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307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17.33203125" style="2" customWidth="1"/>
    <col min="2" max="2" width="10.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0.83203125" style="2"/>
    <col min="10" max="10" width="10.83203125" style="89"/>
    <col min="11" max="11" width="10.83203125" style="2"/>
    <col min="12" max="12" width="10.83203125" style="89"/>
    <col min="13" max="13" width="10.83203125" style="2"/>
    <col min="14" max="14" width="14" style="89" customWidth="1"/>
    <col min="15" max="15" width="10.83203125" style="2"/>
    <col min="16" max="16" width="15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47</v>
      </c>
      <c r="B2" s="1" t="s">
        <v>48</v>
      </c>
      <c r="C2" s="37">
        <v>65.954684210526295</v>
      </c>
      <c r="D2" s="28">
        <f t="shared" ref="D2:D17" si="0">C2*1000</f>
        <v>65954.684210526291</v>
      </c>
      <c r="E2" s="1" t="s">
        <v>30</v>
      </c>
      <c r="F2" s="29">
        <v>14.331590854179687</v>
      </c>
      <c r="G2" s="30">
        <v>8.9676774999999154E-2</v>
      </c>
      <c r="H2" s="101">
        <f>(F2-14.4947193)/1.555248448</f>
        <v>-0.10488899444335766</v>
      </c>
      <c r="I2" s="3">
        <v>0.26668622300700001</v>
      </c>
      <c r="J2" s="88">
        <v>66000</v>
      </c>
      <c r="K2" s="3">
        <v>0.20173542879799999</v>
      </c>
      <c r="L2" s="88">
        <v>66000</v>
      </c>
      <c r="M2" s="3">
        <v>0.23786356925999999</v>
      </c>
      <c r="N2" s="88">
        <v>66000</v>
      </c>
      <c r="O2" s="3">
        <v>0.32407690880200002</v>
      </c>
      <c r="P2" s="88">
        <v>66000</v>
      </c>
    </row>
    <row r="3" spans="1:16">
      <c r="A3" s="1" t="s">
        <v>47</v>
      </c>
      <c r="B3" s="1" t="s">
        <v>48</v>
      </c>
      <c r="C3" s="37">
        <v>65.996604651162798</v>
      </c>
      <c r="D3" s="28">
        <f t="shared" si="0"/>
        <v>65996.604651162794</v>
      </c>
      <c r="E3" s="1" t="s">
        <v>30</v>
      </c>
      <c r="F3" s="29">
        <v>14.107443916679689</v>
      </c>
      <c r="G3" s="30">
        <v>-0.13447016249999955</v>
      </c>
      <c r="H3" s="101">
        <f t="shared" ref="H3:H17" si="1">(F3-14.4947193)/1.555248448</f>
        <v>-0.24901190791627867</v>
      </c>
      <c r="I3" s="3">
        <v>0.25923027801499998</v>
      </c>
      <c r="J3" s="88">
        <v>66200</v>
      </c>
      <c r="K3" s="3">
        <v>8.6560550947599998E-2</v>
      </c>
      <c r="L3" s="88">
        <v>66150</v>
      </c>
      <c r="M3" s="3">
        <v>0.28106572216800002</v>
      </c>
      <c r="N3" s="88">
        <v>66100</v>
      </c>
      <c r="O3" s="3">
        <v>0.20171806822800001</v>
      </c>
      <c r="P3" s="88">
        <v>66050</v>
      </c>
    </row>
    <row r="4" spans="1:16">
      <c r="A4" s="1" t="s">
        <v>47</v>
      </c>
      <c r="B4" s="1" t="s">
        <v>48</v>
      </c>
      <c r="C4" s="37">
        <v>66.012883720930205</v>
      </c>
      <c r="D4" s="28">
        <f t="shared" si="0"/>
        <v>66012.8837209302</v>
      </c>
      <c r="E4" s="1" t="s">
        <v>30</v>
      </c>
      <c r="F4" s="29">
        <v>13.167664779179688</v>
      </c>
      <c r="G4" s="30">
        <v>-1.0742493</v>
      </c>
      <c r="H4" s="101">
        <f t="shared" si="1"/>
        <v>-0.8532749365716209</v>
      </c>
      <c r="I4" s="3">
        <v>0.14401682112</v>
      </c>
      <c r="J4" s="88">
        <v>66400</v>
      </c>
      <c r="K4" s="3">
        <v>0.25923027801499998</v>
      </c>
      <c r="L4" s="88">
        <v>66300</v>
      </c>
      <c r="M4" s="3">
        <v>0.25923027801499998</v>
      </c>
      <c r="N4" s="88">
        <v>66300</v>
      </c>
      <c r="O4" s="3">
        <v>8.6560550947599998E-2</v>
      </c>
      <c r="P4" s="88">
        <v>66100</v>
      </c>
    </row>
    <row r="5" spans="1:16">
      <c r="A5" s="1" t="s">
        <v>47</v>
      </c>
      <c r="B5" s="1" t="s">
        <v>48</v>
      </c>
      <c r="C5" s="37">
        <v>66.020697674418599</v>
      </c>
      <c r="D5" s="28">
        <f t="shared" si="0"/>
        <v>66020.697674418596</v>
      </c>
      <c r="E5" s="1" t="s">
        <v>30</v>
      </c>
      <c r="F5" s="29">
        <v>14.780334729179687</v>
      </c>
      <c r="G5" s="30">
        <v>0.53842064999999906</v>
      </c>
      <c r="H5" s="101">
        <f t="shared" si="1"/>
        <v>0.18364617534065356</v>
      </c>
      <c r="K5" s="3">
        <v>0.14401682112</v>
      </c>
      <c r="L5" s="88">
        <v>66450</v>
      </c>
      <c r="M5" s="3">
        <v>0.14401682112</v>
      </c>
      <c r="N5" s="88">
        <v>66500</v>
      </c>
      <c r="O5" s="3">
        <v>0.25923027801499998</v>
      </c>
      <c r="P5" s="88">
        <v>66300</v>
      </c>
    </row>
    <row r="6" spans="1:16">
      <c r="A6" s="1" t="s">
        <v>47</v>
      </c>
      <c r="B6" s="1" t="s">
        <v>48</v>
      </c>
      <c r="C6" s="37">
        <v>66.024627218934896</v>
      </c>
      <c r="D6" s="28">
        <f t="shared" si="0"/>
        <v>66024.627218934897</v>
      </c>
      <c r="E6" s="1" t="s">
        <v>30</v>
      </c>
      <c r="F6" s="29">
        <v>14.241914079179688</v>
      </c>
      <c r="G6" s="30">
        <v>0</v>
      </c>
      <c r="H6" s="101">
        <f t="shared" si="1"/>
        <v>-0.16254973354605254</v>
      </c>
      <c r="O6" s="3">
        <v>0.14401682112</v>
      </c>
      <c r="P6" s="88">
        <v>66450</v>
      </c>
    </row>
    <row r="7" spans="1:16">
      <c r="A7" s="1" t="s">
        <v>47</v>
      </c>
      <c r="B7" s="1" t="s">
        <v>48</v>
      </c>
      <c r="C7" s="37">
        <v>66.029005917159793</v>
      </c>
      <c r="D7" s="28">
        <f t="shared" si="0"/>
        <v>66029.005917159797</v>
      </c>
      <c r="E7" s="1" t="s">
        <v>30</v>
      </c>
      <c r="F7" s="29">
        <v>14.286749466679689</v>
      </c>
      <c r="G7" s="30">
        <v>0</v>
      </c>
      <c r="H7" s="101">
        <f t="shared" si="1"/>
        <v>-0.13372129294695867</v>
      </c>
    </row>
    <row r="8" spans="1:16">
      <c r="A8" s="1" t="s">
        <v>47</v>
      </c>
      <c r="B8" s="1" t="s">
        <v>48</v>
      </c>
      <c r="C8" s="37">
        <v>66.029005917159793</v>
      </c>
      <c r="D8" s="28">
        <f t="shared" si="0"/>
        <v>66029.005917159797</v>
      </c>
      <c r="E8" s="1" t="s">
        <v>30</v>
      </c>
      <c r="F8" s="29">
        <v>13.973027754179689</v>
      </c>
      <c r="G8" s="30">
        <v>0</v>
      </c>
      <c r="H8" s="101">
        <f t="shared" si="1"/>
        <v>-0.33543936114592438</v>
      </c>
    </row>
    <row r="9" spans="1:16">
      <c r="A9" s="1" t="s">
        <v>47</v>
      </c>
      <c r="B9" s="1" t="s">
        <v>48</v>
      </c>
      <c r="C9" s="37">
        <v>66.029005917159793</v>
      </c>
      <c r="D9" s="28">
        <f t="shared" si="0"/>
        <v>66029.005917159797</v>
      </c>
      <c r="E9" s="1" t="s">
        <v>30</v>
      </c>
      <c r="F9" s="29">
        <v>20.120824454179687</v>
      </c>
      <c r="G9" s="30">
        <v>5.8789103749999985</v>
      </c>
      <c r="H9" s="101">
        <f t="shared" si="1"/>
        <v>3.617496073643204</v>
      </c>
    </row>
    <row r="10" spans="1:16">
      <c r="A10" s="1" t="s">
        <v>47</v>
      </c>
      <c r="B10" s="1" t="s">
        <v>48</v>
      </c>
      <c r="C10" s="37">
        <v>66.058343195266303</v>
      </c>
      <c r="D10" s="28">
        <f t="shared" si="0"/>
        <v>66058.343195266309</v>
      </c>
      <c r="E10" s="1" t="s">
        <v>30</v>
      </c>
      <c r="F10" s="29">
        <v>14.152261304179689</v>
      </c>
      <c r="G10" s="30">
        <v>-0.13448816250000029</v>
      </c>
      <c r="H10" s="101">
        <f t="shared" si="1"/>
        <v>-0.22019504103071197</v>
      </c>
    </row>
    <row r="11" spans="1:16">
      <c r="A11" s="1" t="s">
        <v>47</v>
      </c>
      <c r="B11" s="1" t="s">
        <v>48</v>
      </c>
      <c r="C11" s="37">
        <v>66.058343195266303</v>
      </c>
      <c r="D11" s="28">
        <f t="shared" si="0"/>
        <v>66058.343195266309</v>
      </c>
      <c r="E11" s="1" t="s">
        <v>30</v>
      </c>
      <c r="F11" s="29">
        <v>13.749120816679687</v>
      </c>
      <c r="G11" s="30">
        <v>-0.22390693750000246</v>
      </c>
      <c r="H11" s="101">
        <f t="shared" si="1"/>
        <v>-0.47940795843849182</v>
      </c>
    </row>
    <row r="12" spans="1:16">
      <c r="A12" s="1" t="s">
        <v>47</v>
      </c>
      <c r="B12" s="1" t="s">
        <v>48</v>
      </c>
      <c r="C12" s="37">
        <v>66.092497041420103</v>
      </c>
      <c r="D12" s="28">
        <f t="shared" si="0"/>
        <v>66092.497041420109</v>
      </c>
      <c r="E12" s="1" t="s">
        <v>30</v>
      </c>
      <c r="F12" s="29">
        <v>14.421291629179688</v>
      </c>
      <c r="G12" s="30">
        <v>0.13454216249999895</v>
      </c>
      <c r="H12" s="101">
        <f t="shared" si="1"/>
        <v>-4.7212823722626134E-2</v>
      </c>
    </row>
    <row r="13" spans="1:16">
      <c r="A13" s="1" t="s">
        <v>47</v>
      </c>
      <c r="B13" s="1" t="s">
        <v>48</v>
      </c>
      <c r="C13" s="37">
        <v>66.092497041420103</v>
      </c>
      <c r="D13" s="28">
        <f t="shared" si="0"/>
        <v>66092.497041420109</v>
      </c>
      <c r="E13" s="1" t="s">
        <v>30</v>
      </c>
      <c r="F13" s="29">
        <v>14.690537954179687</v>
      </c>
      <c r="G13" s="30">
        <v>0.71751019999999777</v>
      </c>
      <c r="H13" s="101">
        <f t="shared" si="1"/>
        <v>0.12590827814778013</v>
      </c>
    </row>
    <row r="14" spans="1:16">
      <c r="A14" s="1" t="s">
        <v>47</v>
      </c>
      <c r="B14" s="1" t="s">
        <v>48</v>
      </c>
      <c r="C14" s="37">
        <v>66.295571428571407</v>
      </c>
      <c r="D14" s="28">
        <f t="shared" si="0"/>
        <v>66295.571428571406</v>
      </c>
      <c r="E14" s="1" t="s">
        <v>30</v>
      </c>
      <c r="F14" s="29">
        <v>14.37643824167969</v>
      </c>
      <c r="G14" s="30">
        <v>8.9688775000000831E-2</v>
      </c>
      <c r="H14" s="101">
        <f t="shared" si="1"/>
        <v>-7.6052838035244902E-2</v>
      </c>
    </row>
    <row r="15" spans="1:16">
      <c r="A15" s="1" t="s">
        <v>47</v>
      </c>
      <c r="B15" s="1" t="s">
        <v>48</v>
      </c>
      <c r="C15" s="37">
        <v>66.295571428571407</v>
      </c>
      <c r="D15" s="28">
        <f t="shared" si="0"/>
        <v>66295.571428571406</v>
      </c>
      <c r="E15" s="1" t="s">
        <v>30</v>
      </c>
      <c r="F15" s="29">
        <v>13.570103266679688</v>
      </c>
      <c r="G15" s="30">
        <v>-0.40292448750000176</v>
      </c>
      <c r="H15" s="101">
        <f t="shared" si="1"/>
        <v>-0.59451339399138381</v>
      </c>
    </row>
    <row r="16" spans="1:16">
      <c r="A16" s="1" t="s">
        <v>47</v>
      </c>
      <c r="B16" s="1" t="s">
        <v>48</v>
      </c>
      <c r="C16" s="37">
        <v>66.459183673469397</v>
      </c>
      <c r="D16" s="28">
        <f t="shared" si="0"/>
        <v>66459.183673469393</v>
      </c>
      <c r="E16" s="1" t="s">
        <v>30</v>
      </c>
      <c r="F16" s="29">
        <v>13.749120816679687</v>
      </c>
      <c r="G16" s="30">
        <v>-0.53762865000000204</v>
      </c>
      <c r="H16" s="101">
        <f t="shared" si="1"/>
        <v>-0.47940795843849182</v>
      </c>
    </row>
    <row r="17" spans="1:8">
      <c r="A17" s="1" t="s">
        <v>47</v>
      </c>
      <c r="B17" s="1" t="s">
        <v>48</v>
      </c>
      <c r="C17" s="37">
        <v>66.459183673469397</v>
      </c>
      <c r="D17" s="28">
        <f t="shared" si="0"/>
        <v>66459.183673469393</v>
      </c>
      <c r="E17" s="1" t="s">
        <v>30</v>
      </c>
      <c r="F17" s="29">
        <v>14.197084691679688</v>
      </c>
      <c r="G17" s="30">
        <v>0.22405693749999855</v>
      </c>
      <c r="H17" s="101">
        <f t="shared" si="1"/>
        <v>-0.19137431624063697</v>
      </c>
    </row>
    <row r="18" spans="1:8">
      <c r="F18" s="47">
        <f>AVERAGE(F2:F17)</f>
        <v>14.494719297148439</v>
      </c>
    </row>
    <row r="19" spans="1:8">
      <c r="F19" s="48">
        <f>STDEV(F2:F17)</f>
        <v>1.5552484477775461</v>
      </c>
    </row>
    <row r="36" spans="4:6">
      <c r="D36" s="31"/>
      <c r="F36" s="48"/>
    </row>
    <row r="37" spans="4:6">
      <c r="D37" s="31"/>
    </row>
    <row r="38" spans="4:6">
      <c r="D38" s="31"/>
    </row>
    <row r="39" spans="4:6">
      <c r="D39" s="31"/>
    </row>
    <row r="40" spans="4:6">
      <c r="D40" s="31"/>
    </row>
    <row r="41" spans="4:6">
      <c r="D41" s="31"/>
    </row>
    <row r="42" spans="4:6">
      <c r="D42" s="31"/>
    </row>
    <row r="43" spans="4:6">
      <c r="D43" s="31"/>
    </row>
    <row r="44" spans="4:6">
      <c r="D44" s="31"/>
    </row>
    <row r="45" spans="4:6">
      <c r="D45" s="31"/>
    </row>
    <row r="46" spans="4:6">
      <c r="D46" s="31"/>
    </row>
    <row r="47" spans="4:6">
      <c r="D47" s="31"/>
    </row>
    <row r="48" spans="4:6">
      <c r="D48" s="31"/>
    </row>
    <row r="49" spans="4:4">
      <c r="D49" s="31"/>
    </row>
    <row r="50" spans="4:4">
      <c r="D50" s="31"/>
    </row>
    <row r="51" spans="4:4">
      <c r="D51" s="31"/>
    </row>
    <row r="52" spans="4:4">
      <c r="D52" s="31"/>
    </row>
    <row r="53" spans="4:4">
      <c r="D53" s="31"/>
    </row>
    <row r="54" spans="4:4">
      <c r="D54" s="31"/>
    </row>
    <row r="55" spans="4:4">
      <c r="D55" s="31"/>
    </row>
    <row r="56" spans="4:4">
      <c r="D56" s="31"/>
    </row>
    <row r="57" spans="4:4">
      <c r="D57" s="31"/>
    </row>
    <row r="58" spans="4:4">
      <c r="D58" s="31"/>
    </row>
    <row r="59" spans="4:4">
      <c r="D59" s="31"/>
    </row>
    <row r="60" spans="4:4">
      <c r="D60" s="31"/>
    </row>
    <row r="61" spans="4:4">
      <c r="D61" s="31"/>
    </row>
    <row r="62" spans="4:4">
      <c r="D62" s="31"/>
    </row>
    <row r="63" spans="4:4">
      <c r="D63" s="31"/>
    </row>
    <row r="64" spans="4:4">
      <c r="D64" s="31"/>
    </row>
    <row r="65" spans="4:4">
      <c r="D65" s="31"/>
    </row>
    <row r="66" spans="4:4">
      <c r="D66" s="31"/>
    </row>
    <row r="67" spans="4:4">
      <c r="D67" s="31"/>
    </row>
    <row r="68" spans="4:4">
      <c r="D68" s="31"/>
    </row>
    <row r="69" spans="4:4">
      <c r="D69" s="31"/>
    </row>
    <row r="70" spans="4:4">
      <c r="D70" s="31"/>
    </row>
    <row r="71" spans="4:4">
      <c r="D71" s="31"/>
    </row>
    <row r="72" spans="4:4">
      <c r="D72" s="31"/>
    </row>
    <row r="73" spans="4:4">
      <c r="D73" s="31"/>
    </row>
    <row r="74" spans="4:4">
      <c r="D74" s="31"/>
    </row>
    <row r="75" spans="4:4">
      <c r="D75" s="31"/>
    </row>
    <row r="76" spans="4:4">
      <c r="D76" s="31"/>
    </row>
    <row r="77" spans="4:4">
      <c r="D77" s="31"/>
    </row>
    <row r="78" spans="4:4">
      <c r="D78" s="31"/>
    </row>
    <row r="79" spans="4:4">
      <c r="D79" s="31"/>
    </row>
    <row r="80" spans="4:4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1"/>
    </row>
    <row r="88" spans="4:4">
      <c r="D88" s="31"/>
    </row>
    <row r="89" spans="4:4">
      <c r="D89" s="31"/>
    </row>
    <row r="90" spans="4:4">
      <c r="D90" s="31"/>
    </row>
    <row r="91" spans="4:4">
      <c r="D91" s="31"/>
    </row>
    <row r="92" spans="4:4">
      <c r="D92" s="31"/>
    </row>
    <row r="93" spans="4:4">
      <c r="D93" s="31"/>
    </row>
    <row r="94" spans="4:4">
      <c r="D94" s="31"/>
    </row>
    <row r="95" spans="4:4">
      <c r="D95" s="31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3"/>
    </row>
    <row r="122" spans="4:4">
      <c r="D122" s="33"/>
    </row>
    <row r="123" spans="4:4">
      <c r="D123" s="33"/>
    </row>
    <row r="124" spans="4:4">
      <c r="D124" s="33"/>
    </row>
    <row r="125" spans="4:4">
      <c r="D125" s="33"/>
    </row>
    <row r="126" spans="4:4">
      <c r="D126" s="33"/>
    </row>
    <row r="127" spans="4:4">
      <c r="D127" s="33"/>
    </row>
    <row r="128" spans="4:4">
      <c r="D128" s="33"/>
    </row>
    <row r="129" spans="4:4">
      <c r="D129" s="33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3"/>
    </row>
    <row r="209" spans="4:4">
      <c r="D209" s="33"/>
    </row>
    <row r="210" spans="4:4">
      <c r="D210" s="33"/>
    </row>
    <row r="211" spans="4:4">
      <c r="D211" s="33"/>
    </row>
    <row r="212" spans="4:4">
      <c r="D212" s="33"/>
    </row>
    <row r="213" spans="4:4">
      <c r="D213" s="33"/>
    </row>
    <row r="214" spans="4:4">
      <c r="D214" s="33"/>
    </row>
    <row r="215" spans="4:4">
      <c r="D215" s="33"/>
    </row>
    <row r="216" spans="4:4">
      <c r="D216" s="33"/>
    </row>
    <row r="217" spans="4:4">
      <c r="D217" s="33"/>
    </row>
    <row r="218" spans="4:4">
      <c r="D218" s="33"/>
    </row>
    <row r="219" spans="4:4">
      <c r="D219" s="33"/>
    </row>
    <row r="220" spans="4:4">
      <c r="D220" s="33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1"/>
    </row>
    <row r="230" spans="4:4">
      <c r="D230" s="31"/>
    </row>
    <row r="231" spans="4:4">
      <c r="D231" s="31"/>
    </row>
    <row r="232" spans="4:4">
      <c r="D232" s="31"/>
    </row>
    <row r="233" spans="4:4">
      <c r="D233" s="31"/>
    </row>
    <row r="234" spans="4:4">
      <c r="D234" s="31"/>
    </row>
    <row r="235" spans="4:4">
      <c r="D235" s="31"/>
    </row>
    <row r="236" spans="4:4">
      <c r="D236" s="31"/>
    </row>
    <row r="237" spans="4:4">
      <c r="D237" s="31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1"/>
    </row>
    <row r="245" spans="4:4">
      <c r="D245" s="31"/>
    </row>
    <row r="246" spans="4:4">
      <c r="D246" s="31"/>
    </row>
    <row r="247" spans="4:4">
      <c r="D247" s="31"/>
    </row>
    <row r="248" spans="4:4">
      <c r="D248" s="31"/>
    </row>
    <row r="249" spans="4:4">
      <c r="D249" s="31"/>
    </row>
    <row r="250" spans="4:4">
      <c r="D250" s="31"/>
    </row>
    <row r="251" spans="4:4">
      <c r="D251" s="31"/>
    </row>
    <row r="252" spans="4:4">
      <c r="D252" s="31"/>
    </row>
    <row r="253" spans="4:4">
      <c r="D253" s="31"/>
    </row>
    <row r="254" spans="4:4">
      <c r="D254" s="31"/>
    </row>
    <row r="255" spans="4:4">
      <c r="D255" s="31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1"/>
    </row>
    <row r="317" spans="4:4">
      <c r="D317" s="31"/>
    </row>
    <row r="318" spans="4:4">
      <c r="D318" s="31"/>
    </row>
    <row r="319" spans="4:4">
      <c r="D319" s="31"/>
    </row>
    <row r="320" spans="4:4">
      <c r="D320" s="31"/>
    </row>
    <row r="321" spans="4:4">
      <c r="D321" s="31"/>
    </row>
    <row r="322" spans="4:4">
      <c r="D32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5" spans="4:4">
      <c r="D655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0" spans="4:4">
      <c r="D740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7" spans="4:4">
      <c r="D797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1" spans="4:4">
      <c r="D841" s="31"/>
    </row>
    <row r="842" spans="4:4">
      <c r="D842" s="31"/>
    </row>
    <row r="843" spans="4:4">
      <c r="D843" s="31"/>
    </row>
    <row r="844" spans="4:4">
      <c r="D844" s="31"/>
    </row>
    <row r="845" spans="4:4">
      <c r="D845" s="31"/>
    </row>
    <row r="846" spans="4:4">
      <c r="D846" s="31"/>
    </row>
    <row r="847" spans="4:4">
      <c r="D847" s="31"/>
    </row>
    <row r="848" spans="4:4">
      <c r="D848" s="31"/>
    </row>
    <row r="849" spans="4:4">
      <c r="D849" s="31"/>
    </row>
    <row r="850" spans="4:4">
      <c r="D850" s="31"/>
    </row>
    <row r="851" spans="4:4">
      <c r="D851" s="31"/>
    </row>
    <row r="852" spans="4:4">
      <c r="D852" s="31"/>
    </row>
    <row r="853" spans="4:4">
      <c r="D853" s="31"/>
    </row>
    <row r="854" spans="4:4">
      <c r="D854" s="31"/>
    </row>
    <row r="855" spans="4:4">
      <c r="D855" s="31"/>
    </row>
    <row r="856" spans="4:4">
      <c r="D856" s="31"/>
    </row>
    <row r="857" spans="4:4">
      <c r="D857" s="31"/>
    </row>
    <row r="858" spans="4:4">
      <c r="D858" s="31"/>
    </row>
    <row r="859" spans="4:4">
      <c r="D859" s="31"/>
    </row>
    <row r="860" spans="4:4">
      <c r="D860" s="31"/>
    </row>
    <row r="861" spans="4:4">
      <c r="D861" s="31"/>
    </row>
    <row r="862" spans="4:4">
      <c r="D862" s="31"/>
    </row>
    <row r="863" spans="4:4">
      <c r="D863" s="31"/>
    </row>
    <row r="864" spans="4:4">
      <c r="D864" s="31"/>
    </row>
    <row r="865" spans="4:4">
      <c r="D865" s="31"/>
    </row>
    <row r="866" spans="4:4">
      <c r="D866" s="31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6" spans="4:4">
      <c r="D876" s="39"/>
    </row>
    <row r="877" spans="4:4">
      <c r="D877" s="39"/>
    </row>
    <row r="878" spans="4:4">
      <c r="D878" s="39"/>
    </row>
    <row r="879" spans="4:4">
      <c r="D879" s="39"/>
    </row>
    <row r="880" spans="4:4">
      <c r="D880" s="39"/>
    </row>
    <row r="881" spans="4:4">
      <c r="D881" s="39"/>
    </row>
    <row r="882" spans="4:4">
      <c r="D882" s="39"/>
    </row>
    <row r="883" spans="4:4">
      <c r="D883" s="39"/>
    </row>
    <row r="884" spans="4:4">
      <c r="D884" s="39"/>
    </row>
    <row r="885" spans="4:4">
      <c r="D885" s="39"/>
    </row>
    <row r="886" spans="4:4">
      <c r="D886" s="39"/>
    </row>
    <row r="887" spans="4:4">
      <c r="D887" s="39"/>
    </row>
    <row r="888" spans="4:4">
      <c r="D888" s="39"/>
    </row>
    <row r="889" spans="4:4">
      <c r="D889" s="39"/>
    </row>
    <row r="890" spans="4:4">
      <c r="D890" s="39"/>
    </row>
    <row r="891" spans="4:4">
      <c r="D891" s="39"/>
    </row>
    <row r="892" spans="4:4">
      <c r="D892" s="39"/>
    </row>
    <row r="893" spans="4:4">
      <c r="D893" s="39"/>
    </row>
    <row r="894" spans="4:4">
      <c r="D894" s="39"/>
    </row>
    <row r="895" spans="4:4">
      <c r="D895" s="39"/>
    </row>
    <row r="896" spans="4:4">
      <c r="D896" s="39"/>
    </row>
    <row r="897" spans="4:4">
      <c r="D897" s="39"/>
    </row>
    <row r="898" spans="4:4">
      <c r="D898" s="39"/>
    </row>
    <row r="899" spans="4:4">
      <c r="D899" s="39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19" spans="4:4">
      <c r="D919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7" spans="4:4">
      <c r="D927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3" spans="4:4">
      <c r="D983" s="31"/>
    </row>
    <row r="984" spans="4:4">
      <c r="D984" s="31"/>
    </row>
    <row r="985" spans="4:4">
      <c r="D985" s="31"/>
    </row>
    <row r="986" spans="4:4">
      <c r="D986" s="31"/>
    </row>
    <row r="987" spans="4:4">
      <c r="D987" s="31"/>
    </row>
    <row r="988" spans="4:4">
      <c r="D988" s="31"/>
    </row>
    <row r="989" spans="4:4">
      <c r="D989" s="31"/>
    </row>
    <row r="990" spans="4:4">
      <c r="D990" s="31"/>
    </row>
    <row r="991" spans="4:4">
      <c r="D991" s="31"/>
    </row>
    <row r="992" spans="4:4">
      <c r="D992" s="31"/>
    </row>
    <row r="993" spans="4:4">
      <c r="D993" s="31"/>
    </row>
    <row r="994" spans="4:4">
      <c r="D994" s="31"/>
    </row>
    <row r="995" spans="4:4">
      <c r="D995" s="31"/>
    </row>
    <row r="996" spans="4:4">
      <c r="D996" s="31"/>
    </row>
    <row r="997" spans="4:4">
      <c r="D997" s="31"/>
    </row>
    <row r="998" spans="4:4">
      <c r="D998" s="31"/>
    </row>
    <row r="999" spans="4:4">
      <c r="D999" s="31"/>
    </row>
    <row r="1000" spans="4:4">
      <c r="D1000" s="31"/>
    </row>
    <row r="1001" spans="4:4">
      <c r="D1001" s="31"/>
    </row>
    <row r="1002" spans="4:4">
      <c r="D1002" s="31"/>
    </row>
    <row r="1003" spans="4:4">
      <c r="D1003" s="31"/>
    </row>
    <row r="1004" spans="4:4">
      <c r="D1004" s="31"/>
    </row>
    <row r="1005" spans="4:4">
      <c r="D1005" s="31"/>
    </row>
    <row r="1006" spans="4:4">
      <c r="D1006" s="31"/>
    </row>
    <row r="1007" spans="4:4">
      <c r="D1007" s="31"/>
    </row>
    <row r="1008" spans="4:4">
      <c r="D1008" s="31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69" spans="4:4">
      <c r="D1069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7" spans="4:4">
      <c r="D1197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  <row r="1274" spans="4:4">
      <c r="D1274" s="31"/>
    </row>
    <row r="1275" spans="4:4">
      <c r="D1275" s="31"/>
    </row>
    <row r="1276" spans="4:4">
      <c r="D1276" s="31"/>
    </row>
    <row r="1277" spans="4:4">
      <c r="D1277" s="31"/>
    </row>
    <row r="1278" spans="4:4">
      <c r="D1278" s="31"/>
    </row>
    <row r="1279" spans="4:4">
      <c r="D1279" s="31"/>
    </row>
    <row r="1280" spans="4:4">
      <c r="D1280" s="31"/>
    </row>
    <row r="1281" spans="4:4">
      <c r="D1281" s="31"/>
    </row>
    <row r="1282" spans="4:4">
      <c r="D1282" s="31"/>
    </row>
    <row r="1283" spans="4:4">
      <c r="D1283" s="31"/>
    </row>
    <row r="1284" spans="4:4">
      <c r="D1284" s="31"/>
    </row>
    <row r="1285" spans="4:4">
      <c r="D1285" s="31"/>
    </row>
    <row r="1286" spans="4:4">
      <c r="D1286" s="31"/>
    </row>
    <row r="1287" spans="4:4">
      <c r="D1287" s="31"/>
    </row>
    <row r="1288" spans="4:4">
      <c r="D1288" s="31"/>
    </row>
    <row r="1289" spans="4:4">
      <c r="D1289" s="31"/>
    </row>
    <row r="1290" spans="4:4">
      <c r="D1290" s="31"/>
    </row>
    <row r="1291" spans="4:4">
      <c r="D1291" s="31"/>
    </row>
    <row r="1292" spans="4:4">
      <c r="D1292" s="31"/>
    </row>
    <row r="1293" spans="4:4">
      <c r="D1293" s="31"/>
    </row>
    <row r="1294" spans="4:4">
      <c r="D1294" s="31"/>
    </row>
    <row r="1295" spans="4:4">
      <c r="D1295" s="31"/>
    </row>
    <row r="1296" spans="4:4">
      <c r="D1296" s="31"/>
    </row>
    <row r="1297" spans="4:4">
      <c r="D1297" s="31"/>
    </row>
    <row r="1298" spans="4:4">
      <c r="D1298" s="31"/>
    </row>
    <row r="1299" spans="4:4">
      <c r="D1299" s="31"/>
    </row>
    <row r="1300" spans="4:4">
      <c r="D1300" s="31"/>
    </row>
    <row r="1301" spans="4:4">
      <c r="D1301" s="31"/>
    </row>
    <row r="1302" spans="4:4">
      <c r="D1302" s="31"/>
    </row>
    <row r="1303" spans="4:4">
      <c r="D1303" s="31"/>
    </row>
    <row r="1304" spans="4:4">
      <c r="D1304" s="31"/>
    </row>
    <row r="1305" spans="4:4">
      <c r="D1305" s="31"/>
    </row>
    <row r="1306" spans="4:4">
      <c r="D1306" s="31"/>
    </row>
    <row r="1307" spans="4:4">
      <c r="D1307" s="31"/>
    </row>
  </sheetData>
  <phoneticPr fontId="1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273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1.6640625" style="2" customWidth="1"/>
    <col min="2" max="2" width="10.6640625" style="2" customWidth="1"/>
    <col min="3" max="3" width="10.1640625" style="2" customWidth="1"/>
    <col min="4" max="4" width="10" style="36" customWidth="1"/>
    <col min="5" max="5" width="13.6640625" style="2" customWidth="1"/>
    <col min="6" max="6" width="18" style="2" customWidth="1"/>
    <col min="7" max="7" width="14.33203125" style="2" customWidth="1"/>
    <col min="8" max="8" width="16.83203125" style="101" customWidth="1"/>
    <col min="9" max="9" width="10.83203125" style="2"/>
    <col min="10" max="10" width="11.83203125" style="89" customWidth="1"/>
    <col min="11" max="11" width="10.83203125" style="2"/>
    <col min="12" max="12" width="11.83203125" style="89" customWidth="1"/>
    <col min="13" max="13" width="10.83203125" style="2"/>
    <col min="14" max="14" width="15" style="89" customWidth="1"/>
    <col min="15" max="15" width="10.83203125" style="2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49</v>
      </c>
      <c r="B2" s="1" t="s">
        <v>50</v>
      </c>
      <c r="C2" s="27">
        <v>66.063184000000007</v>
      </c>
      <c r="D2" s="28">
        <f t="shared" ref="D2:D15" si="0">C2*1000</f>
        <v>66063.184000000008</v>
      </c>
      <c r="E2" s="1" t="s">
        <v>30</v>
      </c>
      <c r="F2" s="29">
        <v>25.516661755018749</v>
      </c>
      <c r="G2" s="30">
        <v>0</v>
      </c>
      <c r="H2" s="101">
        <f>(F2-25.18018569)/1.624276974</f>
        <v>0.20715436492960504</v>
      </c>
      <c r="I2" s="3">
        <v>1.5163660453800001</v>
      </c>
      <c r="J2" s="88">
        <v>66000</v>
      </c>
      <c r="K2" s="3">
        <v>1.06933582535</v>
      </c>
      <c r="L2" s="88">
        <v>66150</v>
      </c>
      <c r="M2" s="3">
        <v>0.66409525058399999</v>
      </c>
      <c r="N2" s="88">
        <v>66100</v>
      </c>
      <c r="O2" s="3">
        <v>1.42458509995</v>
      </c>
      <c r="P2" s="88">
        <v>66100</v>
      </c>
    </row>
    <row r="3" spans="1:16">
      <c r="A3" s="1" t="s">
        <v>49</v>
      </c>
      <c r="B3" s="1" t="s">
        <v>50</v>
      </c>
      <c r="C3" s="27">
        <v>66.077161000000004</v>
      </c>
      <c r="D3" s="28">
        <f t="shared" si="0"/>
        <v>66077.161000000007</v>
      </c>
      <c r="E3" s="1" t="s">
        <v>30</v>
      </c>
      <c r="F3" s="29">
        <v>20.590664851875001</v>
      </c>
      <c r="G3" s="30">
        <v>-4.9259969031437478</v>
      </c>
      <c r="H3" s="101">
        <f t="shared" ref="H3:H15" si="1">(F3-25.18018569)/1.624276974</f>
        <v>-2.8255777257142829</v>
      </c>
      <c r="I3" s="3">
        <v>0.79512104450200005</v>
      </c>
      <c r="J3" s="88">
        <v>66200</v>
      </c>
      <c r="K3" s="3">
        <v>0.24441801139300001</v>
      </c>
      <c r="L3" s="88">
        <v>66300</v>
      </c>
      <c r="M3" s="3">
        <v>1.0708057231000001</v>
      </c>
      <c r="N3" s="88">
        <v>66200</v>
      </c>
      <c r="O3" s="3">
        <v>0.28779314929400002</v>
      </c>
      <c r="P3" s="88">
        <v>66150</v>
      </c>
    </row>
    <row r="4" spans="1:16">
      <c r="A4" s="1" t="s">
        <v>49</v>
      </c>
      <c r="B4" s="1" t="s">
        <v>50</v>
      </c>
      <c r="C4" s="27">
        <v>66.078713999999991</v>
      </c>
      <c r="D4" s="28">
        <f t="shared" si="0"/>
        <v>66078.713999999993</v>
      </c>
      <c r="E4" s="1" t="s">
        <v>30</v>
      </c>
      <c r="F4" s="29">
        <v>25.21850640241875</v>
      </c>
      <c r="G4" s="30">
        <v>-0.29815535259999848</v>
      </c>
      <c r="H4" s="101">
        <f t="shared" si="1"/>
        <v>2.3592474086720706E-2</v>
      </c>
      <c r="O4" s="3">
        <v>0.67170240556500005</v>
      </c>
      <c r="P4" s="88">
        <v>66200</v>
      </c>
    </row>
    <row r="5" spans="1:16">
      <c r="A5" s="1" t="s">
        <v>49</v>
      </c>
      <c r="B5" s="1" t="s">
        <v>50</v>
      </c>
      <c r="C5" s="27">
        <v>66.103561999999997</v>
      </c>
      <c r="D5" s="28">
        <f t="shared" si="0"/>
        <v>66103.561999999991</v>
      </c>
      <c r="E5" s="1" t="s">
        <v>30</v>
      </c>
      <c r="F5" s="29">
        <v>25.085250372018749</v>
      </c>
      <c r="G5" s="30">
        <v>-0.43141138300000037</v>
      </c>
      <c r="H5" s="101">
        <f t="shared" si="1"/>
        <v>-5.8447739825713843E-2</v>
      </c>
    </row>
    <row r="6" spans="1:16">
      <c r="A6" s="1" t="s">
        <v>49</v>
      </c>
      <c r="B6" s="1" t="s">
        <v>50</v>
      </c>
      <c r="C6" s="27">
        <v>66.125304</v>
      </c>
      <c r="D6" s="28">
        <f t="shared" si="0"/>
        <v>66125.304000000004</v>
      </c>
      <c r="E6" s="1" t="s">
        <v>30</v>
      </c>
      <c r="F6" s="29">
        <v>25.996825118418748</v>
      </c>
      <c r="G6" s="30">
        <v>0.4801633633999991</v>
      </c>
      <c r="H6" s="101">
        <f t="shared" si="1"/>
        <v>0.50277104304918241</v>
      </c>
    </row>
    <row r="7" spans="1:16">
      <c r="A7" s="1" t="s">
        <v>49</v>
      </c>
      <c r="B7" s="1" t="s">
        <v>50</v>
      </c>
      <c r="C7" s="27">
        <v>66.134621999999993</v>
      </c>
      <c r="D7" s="28">
        <f t="shared" si="0"/>
        <v>66134.621999999988</v>
      </c>
      <c r="E7" s="1" t="s">
        <v>30</v>
      </c>
      <c r="F7" s="29">
        <v>26.464280904075</v>
      </c>
      <c r="G7" s="30">
        <v>0.94761914905625133</v>
      </c>
      <c r="H7" s="101">
        <f t="shared" si="1"/>
        <v>0.79056419233275532</v>
      </c>
    </row>
    <row r="8" spans="1:16">
      <c r="A8" s="1" t="s">
        <v>49</v>
      </c>
      <c r="B8" s="1" t="s">
        <v>50</v>
      </c>
      <c r="C8" s="27">
        <v>66.147045999999989</v>
      </c>
      <c r="D8" s="28">
        <f t="shared" si="0"/>
        <v>66147.045999999988</v>
      </c>
      <c r="E8" s="1" t="s">
        <v>30</v>
      </c>
      <c r="F8" s="29">
        <v>26.681682675674999</v>
      </c>
      <c r="G8" s="30">
        <v>1.1650209206562501</v>
      </c>
      <c r="H8" s="101">
        <f>(F8-25.18018569)/1.624276974</f>
        <v>0.9244094509185603</v>
      </c>
    </row>
    <row r="9" spans="1:16">
      <c r="A9" s="1" t="s">
        <v>49</v>
      </c>
      <c r="B9" s="1" t="s">
        <v>50</v>
      </c>
      <c r="C9" s="27">
        <v>66.154810999999995</v>
      </c>
      <c r="D9" s="28">
        <f t="shared" si="0"/>
        <v>66154.811000000002</v>
      </c>
      <c r="E9" s="1" t="s">
        <v>30</v>
      </c>
      <c r="F9" s="29">
        <v>26.383485552675001</v>
      </c>
      <c r="G9" s="30">
        <v>0.86682379765625228</v>
      </c>
      <c r="H9" s="101">
        <f t="shared" si="1"/>
        <v>0.74082184377194948</v>
      </c>
    </row>
    <row r="10" spans="1:16">
      <c r="A10" s="1" t="s">
        <v>49</v>
      </c>
      <c r="B10" s="1" t="s">
        <v>50</v>
      </c>
      <c r="C10" s="27">
        <v>66.16568199999999</v>
      </c>
      <c r="D10" s="28">
        <f t="shared" si="0"/>
        <v>66165.681999999986</v>
      </c>
      <c r="E10" s="1" t="s">
        <v>30</v>
      </c>
      <c r="F10" s="29">
        <v>23.210280721675002</v>
      </c>
      <c r="G10" s="30">
        <v>-2.3063810333437473</v>
      </c>
      <c r="H10" s="101">
        <f t="shared" si="1"/>
        <v>-1.2127888284187403</v>
      </c>
    </row>
    <row r="11" spans="1:16">
      <c r="A11" s="1" t="s">
        <v>49</v>
      </c>
      <c r="B11" s="1" t="s">
        <v>50</v>
      </c>
      <c r="C11" s="27">
        <v>66.176552999999998</v>
      </c>
      <c r="D11" s="28">
        <f t="shared" si="0"/>
        <v>66176.553</v>
      </c>
      <c r="E11" s="1" t="s">
        <v>30</v>
      </c>
      <c r="F11" s="29">
        <v>24.288720967675001</v>
      </c>
      <c r="G11" s="30">
        <v>-1.2279407873437478</v>
      </c>
      <c r="H11" s="101">
        <f t="shared" si="1"/>
        <v>-0.54883787469426826</v>
      </c>
    </row>
    <row r="12" spans="1:16">
      <c r="A12" s="1" t="s">
        <v>49</v>
      </c>
      <c r="B12" s="1" t="s">
        <v>50</v>
      </c>
      <c r="C12" s="27">
        <v>66.188977000000008</v>
      </c>
      <c r="D12" s="28">
        <f t="shared" si="0"/>
        <v>66188.977000000014</v>
      </c>
      <c r="E12" s="1" t="s">
        <v>30</v>
      </c>
      <c r="F12" s="29">
        <v>26.470782469075001</v>
      </c>
      <c r="G12" s="30">
        <v>0.95412071405625198</v>
      </c>
      <c r="H12" s="101">
        <f t="shared" si="1"/>
        <v>0.79456693638692344</v>
      </c>
    </row>
    <row r="13" spans="1:16">
      <c r="A13" s="1" t="s">
        <v>49</v>
      </c>
      <c r="B13" s="1" t="s">
        <v>50</v>
      </c>
      <c r="C13" s="27">
        <v>66.192082999999997</v>
      </c>
      <c r="D13" s="28">
        <f t="shared" si="0"/>
        <v>66192.082999999999</v>
      </c>
      <c r="E13" s="1" t="s">
        <v>30</v>
      </c>
      <c r="F13" s="29">
        <v>25.354589932518749</v>
      </c>
      <c r="G13" s="30">
        <v>-0.16207182249999974</v>
      </c>
      <c r="H13" s="101">
        <f t="shared" si="1"/>
        <v>0.10737346235307209</v>
      </c>
    </row>
    <row r="14" spans="1:16">
      <c r="A14" s="1" t="s">
        <v>49</v>
      </c>
      <c r="B14" s="1" t="s">
        <v>50</v>
      </c>
      <c r="C14" s="27">
        <v>66.234014000000002</v>
      </c>
      <c r="D14" s="28">
        <f t="shared" si="0"/>
        <v>66234.013999999996</v>
      </c>
      <c r="E14" s="1" t="s">
        <v>30</v>
      </c>
      <c r="F14" s="29">
        <v>26.027436495918753</v>
      </c>
      <c r="G14" s="30">
        <v>0.51077474090000408</v>
      </c>
      <c r="H14" s="101">
        <f t="shared" si="1"/>
        <v>0.52161719920974181</v>
      </c>
    </row>
    <row r="15" spans="1:16" ht="22.75" customHeight="1">
      <c r="A15" s="1" t="s">
        <v>49</v>
      </c>
      <c r="B15" s="1" t="s">
        <v>50</v>
      </c>
      <c r="C15" s="27">
        <v>66.331852999999995</v>
      </c>
      <c r="D15" s="28">
        <f t="shared" si="0"/>
        <v>66331.852999999988</v>
      </c>
      <c r="E15" s="1" t="s">
        <v>30</v>
      </c>
      <c r="F15" s="29">
        <v>25.233431400075002</v>
      </c>
      <c r="G15" s="30">
        <v>-0.28323035494374693</v>
      </c>
      <c r="H15" s="101">
        <f t="shared" si="1"/>
        <v>3.2781176441773328E-2</v>
      </c>
    </row>
    <row r="16" spans="1:16">
      <c r="D16" s="31"/>
      <c r="F16" s="47">
        <f>AVERAGE(F2:F15)</f>
        <v>25.180185687079469</v>
      </c>
    </row>
    <row r="17" spans="4:6">
      <c r="D17" s="31"/>
      <c r="F17" s="48">
        <f>STDEV(F2:F15)</f>
        <v>1.6242769739415643</v>
      </c>
    </row>
    <row r="18" spans="4:6">
      <c r="D18" s="31"/>
    </row>
    <row r="19" spans="4:6">
      <c r="D19" s="31"/>
    </row>
    <row r="20" spans="4:6">
      <c r="D20" s="31"/>
    </row>
    <row r="21" spans="4:6">
      <c r="D21" s="31"/>
    </row>
    <row r="22" spans="4:6">
      <c r="D22" s="31"/>
    </row>
    <row r="23" spans="4:6">
      <c r="D23" s="31"/>
    </row>
    <row r="24" spans="4:6">
      <c r="D24" s="31"/>
    </row>
    <row r="25" spans="4:6">
      <c r="D25" s="31"/>
    </row>
    <row r="26" spans="4:6">
      <c r="D26" s="31"/>
    </row>
    <row r="27" spans="4:6">
      <c r="D27" s="31"/>
    </row>
    <row r="28" spans="4:6">
      <c r="D28" s="31"/>
    </row>
    <row r="29" spans="4:6">
      <c r="D29" s="31"/>
    </row>
    <row r="30" spans="4:6">
      <c r="D30" s="31"/>
    </row>
    <row r="31" spans="4:6">
      <c r="D31" s="31"/>
    </row>
    <row r="32" spans="4:6">
      <c r="D32" s="31"/>
    </row>
    <row r="33" spans="4:4">
      <c r="D33" s="31"/>
    </row>
    <row r="34" spans="4:4">
      <c r="D34" s="31"/>
    </row>
    <row r="35" spans="4:4">
      <c r="D35" s="31"/>
    </row>
    <row r="36" spans="4:4">
      <c r="D36" s="31"/>
    </row>
    <row r="37" spans="4:4">
      <c r="D37" s="31"/>
    </row>
    <row r="38" spans="4:4">
      <c r="D38" s="31"/>
    </row>
    <row r="39" spans="4:4">
      <c r="D39" s="31"/>
    </row>
    <row r="40" spans="4:4">
      <c r="D40" s="31"/>
    </row>
    <row r="41" spans="4:4">
      <c r="D41" s="31"/>
    </row>
    <row r="42" spans="4:4">
      <c r="D42" s="31"/>
    </row>
    <row r="43" spans="4:4">
      <c r="D43" s="31"/>
    </row>
    <row r="44" spans="4:4">
      <c r="D44" s="31"/>
    </row>
    <row r="45" spans="4:4">
      <c r="D45" s="31"/>
    </row>
    <row r="46" spans="4:4">
      <c r="D46" s="31"/>
    </row>
    <row r="47" spans="4:4">
      <c r="D47" s="31"/>
    </row>
    <row r="48" spans="4:4">
      <c r="D48" s="31"/>
    </row>
    <row r="49" spans="4:4">
      <c r="D49" s="31"/>
    </row>
    <row r="50" spans="4:4">
      <c r="D50" s="31"/>
    </row>
    <row r="51" spans="4:4">
      <c r="D51" s="31"/>
    </row>
    <row r="52" spans="4:4">
      <c r="D52" s="31"/>
    </row>
    <row r="53" spans="4:4">
      <c r="D53" s="31"/>
    </row>
    <row r="54" spans="4:4">
      <c r="D54" s="31"/>
    </row>
    <row r="55" spans="4:4">
      <c r="D55" s="31"/>
    </row>
    <row r="56" spans="4:4">
      <c r="D56" s="31"/>
    </row>
    <row r="57" spans="4:4">
      <c r="D57" s="31"/>
    </row>
    <row r="58" spans="4:4">
      <c r="D58" s="31"/>
    </row>
    <row r="59" spans="4:4">
      <c r="D59" s="31"/>
    </row>
    <row r="60" spans="4:4">
      <c r="D60" s="31"/>
    </row>
    <row r="61" spans="4:4">
      <c r="D61" s="31"/>
    </row>
    <row r="62" spans="4:4">
      <c r="D62" s="31"/>
    </row>
    <row r="63" spans="4:4">
      <c r="D63" s="31"/>
    </row>
    <row r="64" spans="4:4">
      <c r="D64" s="31"/>
    </row>
    <row r="65" spans="4:4">
      <c r="D65" s="31"/>
    </row>
    <row r="66" spans="4:4">
      <c r="D66" s="31"/>
    </row>
    <row r="67" spans="4:4">
      <c r="D67" s="31"/>
    </row>
    <row r="68" spans="4:4">
      <c r="D68" s="31"/>
    </row>
    <row r="69" spans="4:4">
      <c r="D69" s="31"/>
    </row>
    <row r="70" spans="4:4">
      <c r="D70" s="31"/>
    </row>
    <row r="71" spans="4:4">
      <c r="D71" s="31"/>
    </row>
    <row r="72" spans="4:4">
      <c r="D72" s="31"/>
    </row>
    <row r="73" spans="4:4">
      <c r="D73" s="31"/>
    </row>
    <row r="74" spans="4:4">
      <c r="D74" s="31"/>
    </row>
    <row r="75" spans="4:4">
      <c r="D75" s="31"/>
    </row>
    <row r="76" spans="4:4">
      <c r="D76" s="31"/>
    </row>
    <row r="77" spans="4:4">
      <c r="D77" s="31"/>
    </row>
    <row r="78" spans="4:4">
      <c r="D78" s="31"/>
    </row>
    <row r="79" spans="4:4">
      <c r="D79" s="31"/>
    </row>
    <row r="80" spans="4:4">
      <c r="D80" s="31"/>
    </row>
    <row r="81" spans="4:4">
      <c r="D81" s="31"/>
    </row>
    <row r="82" spans="4:4">
      <c r="D82" s="31"/>
    </row>
    <row r="83" spans="4:4">
      <c r="D83" s="31"/>
    </row>
    <row r="84" spans="4:4">
      <c r="D84" s="31"/>
    </row>
    <row r="85" spans="4:4">
      <c r="D85" s="31"/>
    </row>
    <row r="86" spans="4:4">
      <c r="D86" s="31"/>
    </row>
    <row r="87" spans="4:4">
      <c r="D87" s="33"/>
    </row>
    <row r="88" spans="4:4">
      <c r="D88" s="33"/>
    </row>
    <row r="89" spans="4:4">
      <c r="D89" s="33"/>
    </row>
    <row r="90" spans="4:4">
      <c r="D90" s="33"/>
    </row>
    <row r="91" spans="4:4">
      <c r="D91" s="33"/>
    </row>
    <row r="92" spans="4:4">
      <c r="D92" s="33"/>
    </row>
    <row r="93" spans="4:4">
      <c r="D93" s="33"/>
    </row>
    <row r="94" spans="4:4">
      <c r="D94" s="33"/>
    </row>
    <row r="95" spans="4:4">
      <c r="D95" s="33"/>
    </row>
    <row r="96" spans="4:4">
      <c r="D96" s="31"/>
    </row>
    <row r="97" spans="4:4">
      <c r="D97" s="31"/>
    </row>
    <row r="98" spans="4:4">
      <c r="D98" s="31"/>
    </row>
    <row r="99" spans="4:4">
      <c r="D99" s="31"/>
    </row>
    <row r="100" spans="4:4">
      <c r="D100" s="31"/>
    </row>
    <row r="101" spans="4:4">
      <c r="D101" s="31"/>
    </row>
    <row r="102" spans="4:4">
      <c r="D102" s="31"/>
    </row>
    <row r="103" spans="4:4">
      <c r="D103" s="31"/>
    </row>
    <row r="104" spans="4:4">
      <c r="D104" s="31"/>
    </row>
    <row r="105" spans="4:4">
      <c r="D105" s="31"/>
    </row>
    <row r="106" spans="4:4">
      <c r="D106" s="31"/>
    </row>
    <row r="107" spans="4:4">
      <c r="D107" s="31"/>
    </row>
    <row r="108" spans="4:4">
      <c r="D108" s="31"/>
    </row>
    <row r="109" spans="4:4">
      <c r="D109" s="31"/>
    </row>
    <row r="110" spans="4:4">
      <c r="D110" s="31"/>
    </row>
    <row r="111" spans="4:4">
      <c r="D111" s="31"/>
    </row>
    <row r="112" spans="4:4">
      <c r="D112" s="31"/>
    </row>
    <row r="113" spans="4:4">
      <c r="D113" s="31"/>
    </row>
    <row r="114" spans="4:4">
      <c r="D114" s="31"/>
    </row>
    <row r="115" spans="4:4">
      <c r="D115" s="31"/>
    </row>
    <row r="116" spans="4:4">
      <c r="D116" s="31"/>
    </row>
    <row r="117" spans="4:4">
      <c r="D117" s="31"/>
    </row>
    <row r="118" spans="4:4">
      <c r="D118" s="31"/>
    </row>
    <row r="119" spans="4:4">
      <c r="D119" s="31"/>
    </row>
    <row r="120" spans="4:4">
      <c r="D120" s="31"/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3"/>
    </row>
    <row r="175" spans="4:4">
      <c r="D175" s="33"/>
    </row>
    <row r="176" spans="4:4">
      <c r="D176" s="33"/>
    </row>
    <row r="177" spans="4:4">
      <c r="D177" s="33"/>
    </row>
    <row r="178" spans="4:4">
      <c r="D178" s="33"/>
    </row>
    <row r="179" spans="4:4">
      <c r="D179" s="33"/>
    </row>
    <row r="180" spans="4:4">
      <c r="D180" s="33"/>
    </row>
    <row r="181" spans="4:4">
      <c r="D181" s="33"/>
    </row>
    <row r="182" spans="4:4">
      <c r="D182" s="33"/>
    </row>
    <row r="183" spans="4:4">
      <c r="D183" s="33"/>
    </row>
    <row r="184" spans="4:4">
      <c r="D184" s="33"/>
    </row>
    <row r="185" spans="4:4">
      <c r="D185" s="33"/>
    </row>
    <row r="186" spans="4:4">
      <c r="D186" s="33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31"/>
    </row>
    <row r="212" spans="4:4">
      <c r="D212" s="31"/>
    </row>
    <row r="213" spans="4:4">
      <c r="D213" s="31"/>
    </row>
    <row r="214" spans="4:4">
      <c r="D214" s="31"/>
    </row>
    <row r="215" spans="4:4">
      <c r="D215" s="31"/>
    </row>
    <row r="216" spans="4:4">
      <c r="D216" s="31"/>
    </row>
    <row r="217" spans="4:4">
      <c r="D217" s="31"/>
    </row>
    <row r="218" spans="4:4">
      <c r="D218" s="31"/>
    </row>
    <row r="219" spans="4:4">
      <c r="D219" s="31"/>
    </row>
    <row r="220" spans="4:4">
      <c r="D220" s="31"/>
    </row>
    <row r="221" spans="4:4">
      <c r="D221" s="31"/>
    </row>
    <row r="222" spans="4:4">
      <c r="D222" s="31"/>
    </row>
    <row r="223" spans="4:4">
      <c r="D223" s="31"/>
    </row>
    <row r="224" spans="4:4">
      <c r="D224" s="31"/>
    </row>
    <row r="225" spans="4:4">
      <c r="D225" s="31"/>
    </row>
    <row r="226" spans="4:4">
      <c r="D226" s="31"/>
    </row>
    <row r="227" spans="4:4">
      <c r="D227" s="31"/>
    </row>
    <row r="228" spans="4:4">
      <c r="D228" s="31"/>
    </row>
    <row r="229" spans="4:4">
      <c r="D229" s="31"/>
    </row>
    <row r="230" spans="4:4">
      <c r="D230" s="31"/>
    </row>
    <row r="231" spans="4:4">
      <c r="D231" s="31"/>
    </row>
    <row r="232" spans="4:4">
      <c r="D232" s="31"/>
    </row>
    <row r="233" spans="4:4">
      <c r="D233" s="31"/>
    </row>
    <row r="234" spans="4:4">
      <c r="D234" s="31"/>
    </row>
    <row r="235" spans="4:4">
      <c r="D235" s="31"/>
    </row>
    <row r="236" spans="4:4">
      <c r="D236" s="31"/>
    </row>
    <row r="237" spans="4:4">
      <c r="D237" s="31"/>
    </row>
    <row r="238" spans="4:4">
      <c r="D238" s="31"/>
    </row>
    <row r="239" spans="4:4">
      <c r="D239" s="31"/>
    </row>
    <row r="240" spans="4:4">
      <c r="D240" s="31"/>
    </row>
    <row r="241" spans="4:4">
      <c r="D241" s="31"/>
    </row>
    <row r="242" spans="4:4">
      <c r="D242" s="31"/>
    </row>
    <row r="243" spans="4:4">
      <c r="D243" s="31"/>
    </row>
    <row r="244" spans="4:4">
      <c r="D244" s="31"/>
    </row>
    <row r="245" spans="4:4">
      <c r="D245" s="31"/>
    </row>
    <row r="246" spans="4:4">
      <c r="D246" s="31"/>
    </row>
    <row r="247" spans="4:4">
      <c r="D247" s="31"/>
    </row>
    <row r="248" spans="4:4">
      <c r="D248" s="31"/>
    </row>
    <row r="249" spans="4:4">
      <c r="D249" s="31"/>
    </row>
    <row r="250" spans="4:4">
      <c r="D250" s="31"/>
    </row>
    <row r="251" spans="4:4">
      <c r="D251" s="31"/>
    </row>
    <row r="252" spans="4:4">
      <c r="D252" s="31"/>
    </row>
    <row r="253" spans="4:4">
      <c r="D253" s="31"/>
    </row>
    <row r="254" spans="4:4">
      <c r="D254" s="31"/>
    </row>
    <row r="255" spans="4:4">
      <c r="D255" s="31"/>
    </row>
    <row r="256" spans="4:4">
      <c r="D256" s="31"/>
    </row>
    <row r="257" spans="4:4">
      <c r="D257" s="31"/>
    </row>
    <row r="258" spans="4:4">
      <c r="D258" s="31"/>
    </row>
    <row r="259" spans="4:4">
      <c r="D259" s="31"/>
    </row>
    <row r="260" spans="4:4">
      <c r="D260" s="31"/>
    </row>
    <row r="261" spans="4:4">
      <c r="D261" s="31"/>
    </row>
    <row r="262" spans="4:4">
      <c r="D262" s="31"/>
    </row>
    <row r="263" spans="4:4">
      <c r="D263" s="31"/>
    </row>
    <row r="264" spans="4:4">
      <c r="D264" s="31"/>
    </row>
    <row r="265" spans="4:4">
      <c r="D265" s="31"/>
    </row>
    <row r="266" spans="4:4">
      <c r="D266" s="31"/>
    </row>
    <row r="267" spans="4:4">
      <c r="D267" s="31"/>
    </row>
    <row r="268" spans="4:4">
      <c r="D268" s="31"/>
    </row>
    <row r="269" spans="4:4">
      <c r="D269" s="31"/>
    </row>
    <row r="270" spans="4:4">
      <c r="D270" s="31"/>
    </row>
    <row r="271" spans="4:4">
      <c r="D271" s="31"/>
    </row>
    <row r="272" spans="4:4">
      <c r="D272" s="31"/>
    </row>
    <row r="273" spans="4:4">
      <c r="D273" s="31"/>
    </row>
    <row r="274" spans="4:4">
      <c r="D274" s="31"/>
    </row>
    <row r="275" spans="4:4">
      <c r="D275" s="31"/>
    </row>
    <row r="276" spans="4:4">
      <c r="D276" s="31"/>
    </row>
    <row r="277" spans="4:4">
      <c r="D277" s="31"/>
    </row>
    <row r="278" spans="4:4">
      <c r="D278" s="31"/>
    </row>
    <row r="279" spans="4:4">
      <c r="D279" s="31"/>
    </row>
    <row r="280" spans="4:4">
      <c r="D280" s="31"/>
    </row>
    <row r="281" spans="4:4">
      <c r="D281" s="31"/>
    </row>
    <row r="282" spans="4:4">
      <c r="D282" s="31"/>
    </row>
    <row r="283" spans="4:4">
      <c r="D283" s="31"/>
    </row>
    <row r="284" spans="4:4">
      <c r="D284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0" spans="4:4">
      <c r="D290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295" spans="4:4">
      <c r="D295" s="31"/>
    </row>
    <row r="296" spans="4:4">
      <c r="D296" s="31"/>
    </row>
    <row r="297" spans="4:4">
      <c r="D297" s="31"/>
    </row>
    <row r="298" spans="4:4">
      <c r="D298" s="31"/>
    </row>
    <row r="299" spans="4:4">
      <c r="D299" s="31"/>
    </row>
    <row r="300" spans="4:4">
      <c r="D300" s="31"/>
    </row>
    <row r="301" spans="4:4">
      <c r="D301" s="31"/>
    </row>
    <row r="302" spans="4:4">
      <c r="D302" s="31"/>
    </row>
    <row r="303" spans="4:4">
      <c r="D303" s="31"/>
    </row>
    <row r="304" spans="4:4">
      <c r="D304" s="31"/>
    </row>
    <row r="305" spans="4:4">
      <c r="D305" s="31"/>
    </row>
    <row r="306" spans="4:4">
      <c r="D306" s="31"/>
    </row>
    <row r="307" spans="4:4">
      <c r="D307" s="31"/>
    </row>
    <row r="308" spans="4:4">
      <c r="D308" s="31"/>
    </row>
    <row r="309" spans="4:4">
      <c r="D309" s="31"/>
    </row>
    <row r="310" spans="4:4">
      <c r="D310" s="31"/>
    </row>
    <row r="311" spans="4:4">
      <c r="D311" s="31"/>
    </row>
    <row r="312" spans="4:4">
      <c r="D312" s="31"/>
    </row>
    <row r="313" spans="4:4">
      <c r="D313" s="31"/>
    </row>
    <row r="314" spans="4:4">
      <c r="D314" s="31"/>
    </row>
    <row r="315" spans="4:4">
      <c r="D315" s="31"/>
    </row>
    <row r="316" spans="4:4">
      <c r="D316" s="31"/>
    </row>
    <row r="317" spans="4:4">
      <c r="D317" s="31"/>
    </row>
    <row r="318" spans="4:4">
      <c r="D318" s="31"/>
    </row>
    <row r="319" spans="4:4">
      <c r="D319" s="31"/>
    </row>
    <row r="320" spans="4:4">
      <c r="D320" s="31"/>
    </row>
    <row r="321" spans="4:4">
      <c r="D321" s="31"/>
    </row>
    <row r="322" spans="4:4">
      <c r="D32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29" spans="4:4">
      <c r="D329" s="31"/>
    </row>
    <row r="330" spans="4:4">
      <c r="D330" s="31"/>
    </row>
    <row r="331" spans="4:4">
      <c r="D331" s="31"/>
    </row>
    <row r="332" spans="4:4">
      <c r="D332" s="31"/>
    </row>
    <row r="333" spans="4:4">
      <c r="D333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2" spans="4:4">
      <c r="D342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49" spans="4:4">
      <c r="D349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56" spans="4:4">
      <c r="D356" s="31"/>
    </row>
    <row r="357" spans="4:4">
      <c r="D357" s="31"/>
    </row>
    <row r="358" spans="4:4">
      <c r="D358" s="31"/>
    </row>
    <row r="359" spans="4:4">
      <c r="D359" s="31"/>
    </row>
    <row r="360" spans="4:4">
      <c r="D360" s="31"/>
    </row>
    <row r="361" spans="4:4">
      <c r="D361" s="31"/>
    </row>
    <row r="362" spans="4:4">
      <c r="D362" s="31"/>
    </row>
    <row r="363" spans="4:4">
      <c r="D363" s="31"/>
    </row>
    <row r="364" spans="4:4">
      <c r="D364" s="31"/>
    </row>
    <row r="365" spans="4:4">
      <c r="D365" s="31"/>
    </row>
    <row r="366" spans="4:4">
      <c r="D366" s="31"/>
    </row>
    <row r="367" spans="4:4">
      <c r="D367" s="31"/>
    </row>
    <row r="368" spans="4:4">
      <c r="D368" s="31"/>
    </row>
    <row r="369" spans="4:4">
      <c r="D369" s="31"/>
    </row>
    <row r="370" spans="4:4">
      <c r="D370" s="31"/>
    </row>
    <row r="371" spans="4:4">
      <c r="D371" s="31"/>
    </row>
    <row r="372" spans="4:4">
      <c r="D372" s="31"/>
    </row>
    <row r="373" spans="4:4">
      <c r="D373" s="31"/>
    </row>
    <row r="374" spans="4:4">
      <c r="D374" s="31"/>
    </row>
    <row r="375" spans="4:4">
      <c r="D375" s="31"/>
    </row>
    <row r="376" spans="4:4">
      <c r="D376" s="31"/>
    </row>
    <row r="377" spans="4:4">
      <c r="D377" s="31"/>
    </row>
    <row r="378" spans="4:4">
      <c r="D378" s="31"/>
    </row>
    <row r="379" spans="4:4">
      <c r="D379" s="31"/>
    </row>
    <row r="380" spans="4:4">
      <c r="D380" s="31"/>
    </row>
    <row r="381" spans="4:4">
      <c r="D381" s="31"/>
    </row>
    <row r="382" spans="4:4">
      <c r="D382" s="31"/>
    </row>
    <row r="383" spans="4:4">
      <c r="D383" s="31"/>
    </row>
    <row r="384" spans="4:4">
      <c r="D384" s="31"/>
    </row>
    <row r="385" spans="4:4">
      <c r="D385" s="31"/>
    </row>
    <row r="386" spans="4:4">
      <c r="D386" s="31"/>
    </row>
    <row r="387" spans="4:4">
      <c r="D387" s="31"/>
    </row>
    <row r="388" spans="4:4">
      <c r="D388" s="31"/>
    </row>
    <row r="389" spans="4:4">
      <c r="D389" s="31"/>
    </row>
    <row r="390" spans="4:4">
      <c r="D390" s="31"/>
    </row>
    <row r="391" spans="4:4">
      <c r="D391" s="31"/>
    </row>
    <row r="392" spans="4:4">
      <c r="D392" s="31"/>
    </row>
    <row r="393" spans="4:4">
      <c r="D393" s="31"/>
    </row>
    <row r="394" spans="4:4">
      <c r="D394" s="31"/>
    </row>
    <row r="395" spans="4:4">
      <c r="D395" s="31"/>
    </row>
    <row r="396" spans="4:4">
      <c r="D396" s="31"/>
    </row>
    <row r="397" spans="4:4">
      <c r="D397" s="31"/>
    </row>
    <row r="398" spans="4:4">
      <c r="D398" s="31"/>
    </row>
    <row r="399" spans="4:4">
      <c r="D399" s="31"/>
    </row>
    <row r="400" spans="4:4">
      <c r="D400" s="31"/>
    </row>
    <row r="401" spans="4:4">
      <c r="D401" s="31"/>
    </row>
    <row r="402" spans="4:4">
      <c r="D402" s="31"/>
    </row>
    <row r="403" spans="4:4">
      <c r="D403" s="31"/>
    </row>
    <row r="404" spans="4:4">
      <c r="D404" s="31"/>
    </row>
    <row r="405" spans="4:4">
      <c r="D405" s="31"/>
    </row>
    <row r="406" spans="4:4">
      <c r="D406" s="31"/>
    </row>
    <row r="407" spans="4:4">
      <c r="D407" s="31"/>
    </row>
    <row r="408" spans="4:4">
      <c r="D408" s="31"/>
    </row>
    <row r="409" spans="4:4">
      <c r="D409" s="31"/>
    </row>
    <row r="410" spans="4:4">
      <c r="D410" s="31"/>
    </row>
    <row r="411" spans="4:4">
      <c r="D411" s="31"/>
    </row>
    <row r="412" spans="4:4">
      <c r="D412" s="31"/>
    </row>
    <row r="413" spans="4:4">
      <c r="D413" s="31"/>
    </row>
    <row r="414" spans="4:4">
      <c r="D414" s="31"/>
    </row>
    <row r="415" spans="4:4">
      <c r="D415" s="31"/>
    </row>
    <row r="416" spans="4:4">
      <c r="D416" s="31"/>
    </row>
    <row r="417" spans="4:4">
      <c r="D417" s="31"/>
    </row>
    <row r="418" spans="4:4">
      <c r="D418" s="31"/>
    </row>
    <row r="419" spans="4:4">
      <c r="D419" s="31"/>
    </row>
    <row r="420" spans="4:4">
      <c r="D420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5" spans="4:4">
      <c r="D425" s="31"/>
    </row>
    <row r="426" spans="4:4">
      <c r="D426" s="31"/>
    </row>
    <row r="427" spans="4:4">
      <c r="D427" s="31"/>
    </row>
    <row r="428" spans="4:4">
      <c r="D428" s="31"/>
    </row>
    <row r="429" spans="4:4">
      <c r="D429" s="31"/>
    </row>
    <row r="430" spans="4:4">
      <c r="D430" s="31"/>
    </row>
    <row r="431" spans="4:4">
      <c r="D431" s="31"/>
    </row>
    <row r="432" spans="4:4">
      <c r="D432" s="31"/>
    </row>
    <row r="433" spans="4:4">
      <c r="D433" s="31"/>
    </row>
    <row r="434" spans="4:4">
      <c r="D434" s="31"/>
    </row>
    <row r="435" spans="4:4">
      <c r="D435" s="31"/>
    </row>
    <row r="436" spans="4:4">
      <c r="D436" s="31"/>
    </row>
    <row r="437" spans="4:4">
      <c r="D437" s="31"/>
    </row>
    <row r="438" spans="4:4">
      <c r="D438" s="31"/>
    </row>
    <row r="439" spans="4:4">
      <c r="D439" s="31"/>
    </row>
    <row r="440" spans="4:4">
      <c r="D440" s="31"/>
    </row>
    <row r="441" spans="4:4">
      <c r="D441" s="31"/>
    </row>
    <row r="442" spans="4:4">
      <c r="D442" s="31"/>
    </row>
    <row r="443" spans="4:4">
      <c r="D443" s="31"/>
    </row>
    <row r="444" spans="4:4">
      <c r="D444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49" spans="4:4">
      <c r="D449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6" spans="4:4">
      <c r="D456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  <row r="464" spans="4:4">
      <c r="D464" s="31"/>
    </row>
    <row r="465" spans="4:4">
      <c r="D465" s="31"/>
    </row>
    <row r="466" spans="4:4">
      <c r="D466" s="31"/>
    </row>
    <row r="467" spans="4:4">
      <c r="D467" s="31"/>
    </row>
    <row r="468" spans="4:4">
      <c r="D468" s="31"/>
    </row>
    <row r="469" spans="4:4">
      <c r="D469" s="31"/>
    </row>
    <row r="470" spans="4:4">
      <c r="D470" s="31"/>
    </row>
    <row r="471" spans="4:4">
      <c r="D471" s="31"/>
    </row>
    <row r="472" spans="4:4">
      <c r="D472" s="31"/>
    </row>
    <row r="473" spans="4:4">
      <c r="D473" s="31"/>
    </row>
    <row r="474" spans="4:4">
      <c r="D474" s="31"/>
    </row>
    <row r="475" spans="4:4">
      <c r="D475" s="31"/>
    </row>
    <row r="476" spans="4:4">
      <c r="D476" s="31"/>
    </row>
    <row r="477" spans="4:4">
      <c r="D477" s="31"/>
    </row>
    <row r="478" spans="4:4">
      <c r="D478" s="31"/>
    </row>
    <row r="479" spans="4:4">
      <c r="D479" s="31"/>
    </row>
    <row r="480" spans="4:4">
      <c r="D480" s="31"/>
    </row>
    <row r="481" spans="4:4">
      <c r="D481" s="31"/>
    </row>
    <row r="482" spans="4:4">
      <c r="D482" s="31"/>
    </row>
    <row r="483" spans="4:4">
      <c r="D483" s="31"/>
    </row>
    <row r="484" spans="4:4">
      <c r="D484" s="31"/>
    </row>
    <row r="485" spans="4:4">
      <c r="D485" s="31"/>
    </row>
    <row r="486" spans="4:4">
      <c r="D486" s="31"/>
    </row>
    <row r="487" spans="4:4">
      <c r="D487" s="31"/>
    </row>
    <row r="488" spans="4:4">
      <c r="D488" s="31"/>
    </row>
    <row r="489" spans="4:4">
      <c r="D489" s="31"/>
    </row>
    <row r="490" spans="4:4">
      <c r="D490" s="31"/>
    </row>
    <row r="491" spans="4:4">
      <c r="D491" s="31"/>
    </row>
    <row r="492" spans="4:4">
      <c r="D492" s="31"/>
    </row>
    <row r="493" spans="4:4">
      <c r="D493" s="31"/>
    </row>
    <row r="494" spans="4:4">
      <c r="D494" s="31"/>
    </row>
    <row r="495" spans="4:4">
      <c r="D495" s="31"/>
    </row>
    <row r="496" spans="4:4">
      <c r="D496" s="31"/>
    </row>
    <row r="497" spans="4:4">
      <c r="D497" s="31"/>
    </row>
    <row r="498" spans="4:4">
      <c r="D498" s="31"/>
    </row>
    <row r="499" spans="4:4">
      <c r="D499" s="31"/>
    </row>
    <row r="500" spans="4:4">
      <c r="D500" s="31"/>
    </row>
    <row r="501" spans="4:4">
      <c r="D501" s="31"/>
    </row>
    <row r="502" spans="4:4">
      <c r="D502" s="31"/>
    </row>
    <row r="503" spans="4:4">
      <c r="D503" s="31"/>
    </row>
    <row r="504" spans="4:4">
      <c r="D504" s="31"/>
    </row>
    <row r="505" spans="4:4">
      <c r="D505" s="31"/>
    </row>
    <row r="506" spans="4:4">
      <c r="D506" s="31"/>
    </row>
    <row r="507" spans="4:4">
      <c r="D507" s="31"/>
    </row>
    <row r="508" spans="4:4">
      <c r="D508" s="31"/>
    </row>
    <row r="509" spans="4:4">
      <c r="D509" s="31"/>
    </row>
    <row r="510" spans="4:4">
      <c r="D510" s="31"/>
    </row>
    <row r="511" spans="4:4">
      <c r="D511" s="31"/>
    </row>
    <row r="512" spans="4:4">
      <c r="D512" s="31"/>
    </row>
    <row r="513" spans="4:4">
      <c r="D513" s="31"/>
    </row>
    <row r="514" spans="4:4">
      <c r="D514" s="31"/>
    </row>
    <row r="515" spans="4:4">
      <c r="D515" s="31"/>
    </row>
    <row r="516" spans="4:4">
      <c r="D516" s="31"/>
    </row>
    <row r="517" spans="4:4">
      <c r="D517" s="31"/>
    </row>
    <row r="518" spans="4:4">
      <c r="D518" s="31"/>
    </row>
    <row r="519" spans="4:4">
      <c r="D519" s="31"/>
    </row>
    <row r="520" spans="4:4">
      <c r="D520" s="31"/>
    </row>
    <row r="521" spans="4:4">
      <c r="D521" s="31"/>
    </row>
    <row r="522" spans="4:4">
      <c r="D522" s="31"/>
    </row>
    <row r="523" spans="4:4">
      <c r="D523" s="31"/>
    </row>
    <row r="524" spans="4:4">
      <c r="D524" s="31"/>
    </row>
    <row r="525" spans="4:4">
      <c r="D525" s="31"/>
    </row>
    <row r="526" spans="4:4">
      <c r="D526" s="31"/>
    </row>
    <row r="527" spans="4:4">
      <c r="D527" s="31"/>
    </row>
    <row r="528" spans="4:4">
      <c r="D528" s="31"/>
    </row>
    <row r="529" spans="4:4">
      <c r="D529" s="31"/>
    </row>
    <row r="530" spans="4:4">
      <c r="D530" s="31"/>
    </row>
    <row r="531" spans="4:4">
      <c r="D531" s="31"/>
    </row>
    <row r="532" spans="4:4">
      <c r="D532" s="31"/>
    </row>
    <row r="533" spans="4:4">
      <c r="D533" s="31"/>
    </row>
    <row r="534" spans="4:4">
      <c r="D534" s="31"/>
    </row>
    <row r="535" spans="4:4">
      <c r="D535" s="31"/>
    </row>
    <row r="536" spans="4:4">
      <c r="D536" s="31"/>
    </row>
    <row r="537" spans="4:4">
      <c r="D537" s="31"/>
    </row>
    <row r="538" spans="4:4">
      <c r="D538" s="31"/>
    </row>
    <row r="539" spans="4:4">
      <c r="D539" s="31"/>
    </row>
    <row r="540" spans="4:4">
      <c r="D540" s="31"/>
    </row>
    <row r="541" spans="4:4">
      <c r="D541" s="31"/>
    </row>
    <row r="542" spans="4:4">
      <c r="D542" s="31"/>
    </row>
    <row r="543" spans="4:4">
      <c r="D543" s="31"/>
    </row>
    <row r="544" spans="4:4">
      <c r="D544" s="31"/>
    </row>
    <row r="545" spans="4:4">
      <c r="D545" s="31"/>
    </row>
    <row r="546" spans="4:4">
      <c r="D546" s="31"/>
    </row>
    <row r="547" spans="4:4">
      <c r="D547" s="31"/>
    </row>
    <row r="548" spans="4:4">
      <c r="D548" s="31"/>
    </row>
    <row r="549" spans="4:4">
      <c r="D549" s="31"/>
    </row>
    <row r="550" spans="4:4">
      <c r="D550" s="31"/>
    </row>
    <row r="551" spans="4:4">
      <c r="D551" s="31"/>
    </row>
    <row r="552" spans="4:4">
      <c r="D552" s="31"/>
    </row>
    <row r="553" spans="4:4">
      <c r="D553" s="31"/>
    </row>
    <row r="554" spans="4:4">
      <c r="D554" s="31"/>
    </row>
    <row r="555" spans="4:4">
      <c r="D555" s="31"/>
    </row>
    <row r="556" spans="4:4">
      <c r="D556" s="31"/>
    </row>
    <row r="557" spans="4:4">
      <c r="D557" s="31"/>
    </row>
    <row r="558" spans="4:4">
      <c r="D558" s="31"/>
    </row>
    <row r="559" spans="4:4">
      <c r="D559" s="31"/>
    </row>
    <row r="560" spans="4:4">
      <c r="D560" s="31"/>
    </row>
    <row r="561" spans="4:4">
      <c r="D561" s="31"/>
    </row>
    <row r="562" spans="4:4">
      <c r="D562" s="31"/>
    </row>
    <row r="563" spans="4:4">
      <c r="D563" s="31"/>
    </row>
    <row r="564" spans="4:4">
      <c r="D564" s="31"/>
    </row>
    <row r="565" spans="4:4">
      <c r="D565" s="31"/>
    </row>
    <row r="566" spans="4:4">
      <c r="D566" s="31"/>
    </row>
    <row r="567" spans="4:4">
      <c r="D567" s="31"/>
    </row>
    <row r="568" spans="4:4">
      <c r="D568" s="31"/>
    </row>
    <row r="569" spans="4:4">
      <c r="D569" s="31"/>
    </row>
    <row r="570" spans="4:4">
      <c r="D570" s="31"/>
    </row>
    <row r="571" spans="4:4">
      <c r="D571" s="31"/>
    </row>
    <row r="572" spans="4:4">
      <c r="D572" s="31"/>
    </row>
    <row r="573" spans="4:4">
      <c r="D573" s="31"/>
    </row>
    <row r="574" spans="4:4">
      <c r="D574" s="31"/>
    </row>
    <row r="575" spans="4:4">
      <c r="D575" s="31"/>
    </row>
    <row r="576" spans="4:4">
      <c r="D576" s="31"/>
    </row>
    <row r="577" spans="4:4">
      <c r="D577" s="31"/>
    </row>
    <row r="578" spans="4:4">
      <c r="D578" s="31"/>
    </row>
    <row r="579" spans="4:4">
      <c r="D579" s="31"/>
    </row>
    <row r="580" spans="4:4">
      <c r="D580" s="31"/>
    </row>
    <row r="581" spans="4:4">
      <c r="D581" s="31"/>
    </row>
    <row r="582" spans="4:4">
      <c r="D582" s="31"/>
    </row>
    <row r="583" spans="4:4">
      <c r="D583" s="31"/>
    </row>
    <row r="584" spans="4:4">
      <c r="D584" s="31"/>
    </row>
    <row r="585" spans="4:4">
      <c r="D585" s="31"/>
    </row>
    <row r="586" spans="4:4">
      <c r="D586" s="31"/>
    </row>
    <row r="587" spans="4:4">
      <c r="D587" s="31"/>
    </row>
    <row r="588" spans="4:4">
      <c r="D588" s="31"/>
    </row>
    <row r="589" spans="4:4">
      <c r="D589" s="31"/>
    </row>
    <row r="590" spans="4:4">
      <c r="D590" s="31"/>
    </row>
    <row r="591" spans="4:4">
      <c r="D591" s="31"/>
    </row>
    <row r="592" spans="4:4">
      <c r="D592" s="31"/>
    </row>
    <row r="593" spans="4:4">
      <c r="D593" s="31"/>
    </row>
    <row r="594" spans="4:4">
      <c r="D594" s="31"/>
    </row>
    <row r="595" spans="4:4">
      <c r="D595" s="31"/>
    </row>
    <row r="596" spans="4:4">
      <c r="D596" s="31"/>
    </row>
    <row r="597" spans="4:4">
      <c r="D597" s="31"/>
    </row>
    <row r="598" spans="4:4">
      <c r="D598" s="31"/>
    </row>
    <row r="599" spans="4:4">
      <c r="D599" s="31"/>
    </row>
    <row r="600" spans="4:4">
      <c r="D600" s="31"/>
    </row>
    <row r="601" spans="4:4">
      <c r="D601" s="31"/>
    </row>
    <row r="602" spans="4:4">
      <c r="D602" s="31"/>
    </row>
    <row r="603" spans="4:4">
      <c r="D603" s="31"/>
    </row>
    <row r="604" spans="4:4">
      <c r="D604" s="31"/>
    </row>
    <row r="605" spans="4:4">
      <c r="D605" s="31"/>
    </row>
    <row r="606" spans="4:4">
      <c r="D606" s="31"/>
    </row>
    <row r="607" spans="4:4">
      <c r="D607" s="31"/>
    </row>
    <row r="608" spans="4:4">
      <c r="D608" s="31"/>
    </row>
    <row r="609" spans="4:4">
      <c r="D609" s="31"/>
    </row>
    <row r="610" spans="4:4">
      <c r="D610" s="31"/>
    </row>
    <row r="611" spans="4:4">
      <c r="D611" s="31"/>
    </row>
    <row r="612" spans="4:4">
      <c r="D612" s="31"/>
    </row>
    <row r="613" spans="4:4">
      <c r="D613" s="31"/>
    </row>
    <row r="614" spans="4:4">
      <c r="D614" s="31"/>
    </row>
    <row r="615" spans="4:4">
      <c r="D615" s="31"/>
    </row>
    <row r="616" spans="4:4">
      <c r="D616" s="31"/>
    </row>
    <row r="617" spans="4:4">
      <c r="D617" s="31"/>
    </row>
    <row r="618" spans="4:4">
      <c r="D618" s="31"/>
    </row>
    <row r="619" spans="4:4">
      <c r="D619" s="31"/>
    </row>
    <row r="620" spans="4:4">
      <c r="D620" s="31"/>
    </row>
    <row r="621" spans="4:4">
      <c r="D621" s="31"/>
    </row>
    <row r="622" spans="4:4">
      <c r="D622" s="31"/>
    </row>
    <row r="623" spans="4:4">
      <c r="D623" s="31"/>
    </row>
    <row r="624" spans="4:4">
      <c r="D624" s="31"/>
    </row>
    <row r="625" spans="4:4">
      <c r="D625" s="31"/>
    </row>
    <row r="626" spans="4:4">
      <c r="D626" s="31"/>
    </row>
    <row r="627" spans="4:4">
      <c r="D627" s="31"/>
    </row>
    <row r="628" spans="4:4">
      <c r="D628" s="31"/>
    </row>
    <row r="629" spans="4:4">
      <c r="D629" s="31"/>
    </row>
    <row r="630" spans="4:4">
      <c r="D630" s="31"/>
    </row>
    <row r="631" spans="4:4">
      <c r="D631" s="31"/>
    </row>
    <row r="632" spans="4:4">
      <c r="D632" s="31"/>
    </row>
    <row r="633" spans="4:4">
      <c r="D633" s="31"/>
    </row>
    <row r="634" spans="4:4">
      <c r="D634" s="31"/>
    </row>
    <row r="635" spans="4:4">
      <c r="D635" s="31"/>
    </row>
    <row r="636" spans="4:4">
      <c r="D636" s="31"/>
    </row>
    <row r="637" spans="4:4">
      <c r="D637" s="31"/>
    </row>
    <row r="638" spans="4:4">
      <c r="D638" s="31"/>
    </row>
    <row r="639" spans="4:4">
      <c r="D639" s="31"/>
    </row>
    <row r="640" spans="4:4">
      <c r="D640" s="31"/>
    </row>
    <row r="641" spans="4:4">
      <c r="D641" s="31"/>
    </row>
    <row r="642" spans="4:4">
      <c r="D642" s="31"/>
    </row>
    <row r="643" spans="4:4">
      <c r="D643" s="31"/>
    </row>
    <row r="644" spans="4:4">
      <c r="D644" s="31"/>
    </row>
    <row r="645" spans="4:4">
      <c r="D645" s="31"/>
    </row>
    <row r="646" spans="4:4">
      <c r="D646" s="31"/>
    </row>
    <row r="647" spans="4:4">
      <c r="D647" s="31"/>
    </row>
    <row r="648" spans="4:4">
      <c r="D648" s="31"/>
    </row>
    <row r="649" spans="4:4">
      <c r="D649" s="31"/>
    </row>
    <row r="650" spans="4:4">
      <c r="D650" s="31"/>
    </row>
    <row r="651" spans="4:4">
      <c r="D651" s="31"/>
    </row>
    <row r="652" spans="4:4">
      <c r="D652" s="31"/>
    </row>
    <row r="653" spans="4:4">
      <c r="D653" s="31"/>
    </row>
    <row r="654" spans="4:4">
      <c r="D654" s="31"/>
    </row>
    <row r="656" spans="4:4">
      <c r="D656" s="31"/>
    </row>
    <row r="657" spans="4:4">
      <c r="D657" s="31"/>
    </row>
    <row r="658" spans="4:4">
      <c r="D658" s="31"/>
    </row>
    <row r="659" spans="4:4">
      <c r="D659" s="31"/>
    </row>
    <row r="660" spans="4:4">
      <c r="D660" s="31"/>
    </row>
    <row r="661" spans="4:4">
      <c r="D661" s="31"/>
    </row>
    <row r="662" spans="4:4">
      <c r="D662" s="31"/>
    </row>
    <row r="663" spans="4:4">
      <c r="D663" s="31"/>
    </row>
    <row r="664" spans="4:4">
      <c r="D664" s="31"/>
    </row>
    <row r="665" spans="4:4">
      <c r="D665" s="31"/>
    </row>
    <row r="666" spans="4:4">
      <c r="D666" s="31"/>
    </row>
    <row r="667" spans="4:4">
      <c r="D667" s="31"/>
    </row>
    <row r="668" spans="4:4">
      <c r="D668" s="31"/>
    </row>
    <row r="669" spans="4:4">
      <c r="D669" s="31"/>
    </row>
    <row r="670" spans="4:4">
      <c r="D670" s="31"/>
    </row>
    <row r="671" spans="4:4">
      <c r="D671" s="31"/>
    </row>
    <row r="672" spans="4:4">
      <c r="D672" s="31"/>
    </row>
    <row r="673" spans="4:4">
      <c r="D673" s="31"/>
    </row>
    <row r="674" spans="4:4">
      <c r="D674" s="31"/>
    </row>
    <row r="675" spans="4:4">
      <c r="D675" s="31"/>
    </row>
    <row r="676" spans="4:4">
      <c r="D676" s="31"/>
    </row>
    <row r="677" spans="4:4">
      <c r="D677" s="31"/>
    </row>
    <row r="678" spans="4:4">
      <c r="D678" s="31"/>
    </row>
    <row r="679" spans="4:4">
      <c r="D679" s="31"/>
    </row>
    <row r="680" spans="4:4">
      <c r="D680" s="31"/>
    </row>
    <row r="681" spans="4:4">
      <c r="D681" s="31"/>
    </row>
    <row r="682" spans="4:4">
      <c r="D682" s="31"/>
    </row>
    <row r="683" spans="4:4">
      <c r="D683" s="31"/>
    </row>
    <row r="684" spans="4:4">
      <c r="D684" s="31"/>
    </row>
    <row r="685" spans="4:4">
      <c r="D685" s="31"/>
    </row>
    <row r="686" spans="4:4">
      <c r="D686" s="31"/>
    </row>
    <row r="687" spans="4:4">
      <c r="D687" s="31"/>
    </row>
    <row r="688" spans="4:4">
      <c r="D688" s="31"/>
    </row>
    <row r="689" spans="4:4">
      <c r="D689" s="31"/>
    </row>
    <row r="690" spans="4:4">
      <c r="D690" s="31"/>
    </row>
    <row r="691" spans="4:4">
      <c r="D691" s="31"/>
    </row>
    <row r="692" spans="4:4">
      <c r="D692" s="31"/>
    </row>
    <row r="693" spans="4:4">
      <c r="D693" s="31"/>
    </row>
    <row r="694" spans="4:4">
      <c r="D694" s="31"/>
    </row>
    <row r="695" spans="4:4">
      <c r="D695" s="31"/>
    </row>
    <row r="696" spans="4:4">
      <c r="D696" s="31"/>
    </row>
    <row r="697" spans="4:4">
      <c r="D697" s="31"/>
    </row>
    <row r="698" spans="4:4">
      <c r="D698" s="31"/>
    </row>
    <row r="699" spans="4:4">
      <c r="D699" s="31"/>
    </row>
    <row r="700" spans="4:4">
      <c r="D700" s="31"/>
    </row>
    <row r="701" spans="4:4">
      <c r="D701" s="31"/>
    </row>
    <row r="702" spans="4:4">
      <c r="D702" s="31"/>
    </row>
    <row r="703" spans="4:4">
      <c r="D703" s="31"/>
    </row>
    <row r="704" spans="4:4">
      <c r="D704" s="31"/>
    </row>
    <row r="705" spans="4:4">
      <c r="D705" s="31"/>
    </row>
    <row r="706" spans="4:4">
      <c r="D706" s="31"/>
    </row>
    <row r="707" spans="4:4">
      <c r="D707" s="31"/>
    </row>
    <row r="708" spans="4:4">
      <c r="D708" s="31"/>
    </row>
    <row r="709" spans="4:4">
      <c r="D709" s="31"/>
    </row>
    <row r="710" spans="4:4">
      <c r="D710" s="31"/>
    </row>
    <row r="711" spans="4:4">
      <c r="D711" s="31"/>
    </row>
    <row r="712" spans="4:4">
      <c r="D712" s="31"/>
    </row>
    <row r="713" spans="4:4">
      <c r="D713" s="31"/>
    </row>
    <row r="714" spans="4:4">
      <c r="D714" s="31"/>
    </row>
    <row r="715" spans="4:4">
      <c r="D715" s="31"/>
    </row>
    <row r="716" spans="4:4">
      <c r="D716" s="31"/>
    </row>
    <row r="717" spans="4:4">
      <c r="D717" s="31"/>
    </row>
    <row r="718" spans="4:4">
      <c r="D718" s="31"/>
    </row>
    <row r="719" spans="4:4">
      <c r="D719" s="31"/>
    </row>
    <row r="720" spans="4:4">
      <c r="D720" s="31"/>
    </row>
    <row r="721" spans="4:4">
      <c r="D721" s="31"/>
    </row>
    <row r="722" spans="4:4">
      <c r="D722" s="31"/>
    </row>
    <row r="723" spans="4:4">
      <c r="D723" s="31"/>
    </row>
    <row r="724" spans="4:4">
      <c r="D724" s="31"/>
    </row>
    <row r="725" spans="4:4">
      <c r="D725" s="31"/>
    </row>
    <row r="726" spans="4:4">
      <c r="D726" s="31"/>
    </row>
    <row r="727" spans="4:4">
      <c r="D727" s="31"/>
    </row>
    <row r="728" spans="4:4">
      <c r="D728" s="31"/>
    </row>
    <row r="729" spans="4:4">
      <c r="D729" s="31"/>
    </row>
    <row r="730" spans="4:4">
      <c r="D730" s="31"/>
    </row>
    <row r="731" spans="4:4">
      <c r="D731" s="31"/>
    </row>
    <row r="732" spans="4:4">
      <c r="D732" s="31"/>
    </row>
    <row r="733" spans="4:4">
      <c r="D733" s="31"/>
    </row>
    <row r="734" spans="4:4">
      <c r="D734" s="31"/>
    </row>
    <row r="735" spans="4:4">
      <c r="D735" s="31"/>
    </row>
    <row r="736" spans="4:4">
      <c r="D736" s="31"/>
    </row>
    <row r="737" spans="4:4">
      <c r="D737" s="31"/>
    </row>
    <row r="738" spans="4:4">
      <c r="D738" s="31"/>
    </row>
    <row r="739" spans="4:4">
      <c r="D739" s="31"/>
    </row>
    <row r="741" spans="4:4">
      <c r="D741" s="31"/>
    </row>
    <row r="742" spans="4:4">
      <c r="D742" s="31"/>
    </row>
    <row r="743" spans="4:4">
      <c r="D743" s="31"/>
    </row>
    <row r="744" spans="4:4">
      <c r="D744" s="31"/>
    </row>
    <row r="745" spans="4:4">
      <c r="D745" s="31"/>
    </row>
    <row r="746" spans="4:4">
      <c r="D746" s="31"/>
    </row>
    <row r="747" spans="4:4">
      <c r="D747" s="31"/>
    </row>
    <row r="748" spans="4:4">
      <c r="D748" s="31"/>
    </row>
    <row r="749" spans="4:4">
      <c r="D749" s="31"/>
    </row>
    <row r="750" spans="4:4">
      <c r="D750" s="31"/>
    </row>
    <row r="751" spans="4:4">
      <c r="D751" s="31"/>
    </row>
    <row r="752" spans="4:4">
      <c r="D752" s="31"/>
    </row>
    <row r="753" spans="4:4">
      <c r="D753" s="31"/>
    </row>
    <row r="754" spans="4:4">
      <c r="D754" s="31"/>
    </row>
    <row r="755" spans="4:4">
      <c r="D755" s="31"/>
    </row>
    <row r="756" spans="4:4">
      <c r="D756" s="31"/>
    </row>
    <row r="757" spans="4:4">
      <c r="D757" s="31"/>
    </row>
    <row r="758" spans="4:4">
      <c r="D758" s="31"/>
    </row>
    <row r="759" spans="4:4">
      <c r="D759" s="31"/>
    </row>
    <row r="760" spans="4:4">
      <c r="D760" s="31"/>
    </row>
    <row r="761" spans="4:4">
      <c r="D761" s="31"/>
    </row>
    <row r="762" spans="4:4">
      <c r="D762" s="31"/>
    </row>
    <row r="763" spans="4:4">
      <c r="D763" s="31"/>
    </row>
    <row r="764" spans="4:4">
      <c r="D764" s="31"/>
    </row>
    <row r="765" spans="4:4">
      <c r="D765" s="31"/>
    </row>
    <row r="766" spans="4:4">
      <c r="D766" s="31"/>
    </row>
    <row r="767" spans="4:4">
      <c r="D767" s="31"/>
    </row>
    <row r="768" spans="4:4">
      <c r="D768" s="31"/>
    </row>
    <row r="769" spans="4:4">
      <c r="D769" s="31"/>
    </row>
    <row r="770" spans="4:4">
      <c r="D770" s="31"/>
    </row>
    <row r="771" spans="4:4">
      <c r="D771" s="31"/>
    </row>
    <row r="772" spans="4:4">
      <c r="D772" s="31"/>
    </row>
    <row r="773" spans="4:4">
      <c r="D773" s="31"/>
    </row>
    <row r="774" spans="4:4">
      <c r="D774" s="31"/>
    </row>
    <row r="775" spans="4:4">
      <c r="D775" s="31"/>
    </row>
    <row r="776" spans="4:4">
      <c r="D776" s="31"/>
    </row>
    <row r="777" spans="4:4">
      <c r="D777" s="31"/>
    </row>
    <row r="778" spans="4:4">
      <c r="D778" s="31"/>
    </row>
    <row r="779" spans="4:4">
      <c r="D779" s="31"/>
    </row>
    <row r="780" spans="4:4">
      <c r="D780" s="31"/>
    </row>
    <row r="781" spans="4:4">
      <c r="D781" s="31"/>
    </row>
    <row r="782" spans="4:4">
      <c r="D782" s="31"/>
    </row>
    <row r="783" spans="4:4">
      <c r="D783" s="31"/>
    </row>
    <row r="784" spans="4:4">
      <c r="D784" s="31"/>
    </row>
    <row r="785" spans="4:4">
      <c r="D785" s="31"/>
    </row>
    <row r="786" spans="4:4">
      <c r="D786" s="31"/>
    </row>
    <row r="787" spans="4:4">
      <c r="D787" s="31"/>
    </row>
    <row r="788" spans="4:4">
      <c r="D788" s="31"/>
    </row>
    <row r="789" spans="4:4">
      <c r="D789" s="31"/>
    </row>
    <row r="790" spans="4:4">
      <c r="D790" s="31"/>
    </row>
    <row r="791" spans="4:4">
      <c r="D791" s="31"/>
    </row>
    <row r="792" spans="4:4">
      <c r="D792" s="31"/>
    </row>
    <row r="793" spans="4:4">
      <c r="D793" s="31"/>
    </row>
    <row r="794" spans="4:4">
      <c r="D794" s="31"/>
    </row>
    <row r="795" spans="4:4">
      <c r="D795" s="31"/>
    </row>
    <row r="796" spans="4:4">
      <c r="D796" s="31"/>
    </row>
    <row r="797" spans="4:4">
      <c r="D797" s="31"/>
    </row>
    <row r="798" spans="4:4">
      <c r="D798" s="31"/>
    </row>
    <row r="799" spans="4:4">
      <c r="D799" s="31"/>
    </row>
    <row r="800" spans="4:4">
      <c r="D800" s="31"/>
    </row>
    <row r="801" spans="4:4">
      <c r="D801" s="31"/>
    </row>
    <row r="802" spans="4:4">
      <c r="D802" s="31"/>
    </row>
    <row r="803" spans="4:4">
      <c r="D803" s="31"/>
    </row>
    <row r="804" spans="4:4">
      <c r="D804" s="31"/>
    </row>
    <row r="805" spans="4:4">
      <c r="D805" s="31"/>
    </row>
    <row r="806" spans="4:4">
      <c r="D806" s="31"/>
    </row>
    <row r="807" spans="4:4">
      <c r="D807" s="31"/>
    </row>
    <row r="808" spans="4:4">
      <c r="D808" s="31"/>
    </row>
    <row r="809" spans="4:4">
      <c r="D809" s="31"/>
    </row>
    <row r="810" spans="4:4">
      <c r="D810" s="31"/>
    </row>
    <row r="811" spans="4:4">
      <c r="D811" s="31"/>
    </row>
    <row r="812" spans="4:4">
      <c r="D812" s="31"/>
    </row>
    <row r="813" spans="4:4">
      <c r="D813" s="31"/>
    </row>
    <row r="814" spans="4:4">
      <c r="D814" s="31"/>
    </row>
    <row r="815" spans="4:4">
      <c r="D815" s="31"/>
    </row>
    <row r="816" spans="4:4">
      <c r="D816" s="31"/>
    </row>
    <row r="817" spans="4:4">
      <c r="D817" s="31"/>
    </row>
    <row r="818" spans="4:4">
      <c r="D818" s="31"/>
    </row>
    <row r="819" spans="4:4">
      <c r="D819" s="31"/>
    </row>
    <row r="820" spans="4:4">
      <c r="D820" s="31"/>
    </row>
    <row r="821" spans="4:4">
      <c r="D821" s="31"/>
    </row>
    <row r="822" spans="4:4">
      <c r="D822" s="31"/>
    </row>
    <row r="823" spans="4:4">
      <c r="D823" s="31"/>
    </row>
    <row r="824" spans="4:4">
      <c r="D824" s="31"/>
    </row>
    <row r="825" spans="4:4">
      <c r="D825" s="31"/>
    </row>
    <row r="826" spans="4:4">
      <c r="D826" s="31"/>
    </row>
    <row r="827" spans="4:4">
      <c r="D827" s="31"/>
    </row>
    <row r="828" spans="4:4">
      <c r="D828" s="31"/>
    </row>
    <row r="829" spans="4:4">
      <c r="D829" s="31"/>
    </row>
    <row r="830" spans="4:4">
      <c r="D830" s="31"/>
    </row>
    <row r="831" spans="4:4">
      <c r="D831" s="31"/>
    </row>
    <row r="832" spans="4:4">
      <c r="D832" s="31"/>
    </row>
    <row r="833" spans="4:4">
      <c r="D833" s="31"/>
    </row>
    <row r="834" spans="4:4">
      <c r="D834" s="31"/>
    </row>
    <row r="835" spans="4:4">
      <c r="D835" s="31"/>
    </row>
    <row r="836" spans="4:4">
      <c r="D836" s="31"/>
    </row>
    <row r="837" spans="4:4">
      <c r="D837" s="31"/>
    </row>
    <row r="838" spans="4:4">
      <c r="D838" s="31"/>
    </row>
    <row r="839" spans="4:4">
      <c r="D839" s="31"/>
    </row>
    <row r="840" spans="4:4">
      <c r="D840" s="31"/>
    </row>
    <row r="842" spans="4:4">
      <c r="D842" s="39"/>
    </row>
    <row r="843" spans="4:4">
      <c r="D843" s="39"/>
    </row>
    <row r="844" spans="4:4">
      <c r="D844" s="39"/>
    </row>
    <row r="845" spans="4:4">
      <c r="D845" s="39"/>
    </row>
    <row r="846" spans="4:4">
      <c r="D846" s="39"/>
    </row>
    <row r="847" spans="4:4">
      <c r="D847" s="39"/>
    </row>
    <row r="848" spans="4:4">
      <c r="D848" s="39"/>
    </row>
    <row r="849" spans="4:4">
      <c r="D849" s="39"/>
    </row>
    <row r="850" spans="4:4">
      <c r="D850" s="39"/>
    </row>
    <row r="851" spans="4:4">
      <c r="D851" s="39"/>
    </row>
    <row r="852" spans="4:4">
      <c r="D852" s="39"/>
    </row>
    <row r="853" spans="4:4">
      <c r="D853" s="39"/>
    </row>
    <row r="854" spans="4:4">
      <c r="D854" s="39"/>
    </row>
    <row r="855" spans="4:4">
      <c r="D855" s="39"/>
    </row>
    <row r="856" spans="4:4">
      <c r="D856" s="39"/>
    </row>
    <row r="857" spans="4:4">
      <c r="D857" s="39"/>
    </row>
    <row r="858" spans="4:4">
      <c r="D858" s="39"/>
    </row>
    <row r="859" spans="4:4">
      <c r="D859" s="39"/>
    </row>
    <row r="860" spans="4:4">
      <c r="D860" s="39"/>
    </row>
    <row r="861" spans="4:4">
      <c r="D861" s="39"/>
    </row>
    <row r="862" spans="4:4">
      <c r="D862" s="39"/>
    </row>
    <row r="863" spans="4:4">
      <c r="D863" s="39"/>
    </row>
    <row r="864" spans="4:4">
      <c r="D864" s="39"/>
    </row>
    <row r="865" spans="4:4">
      <c r="D865" s="39"/>
    </row>
    <row r="867" spans="4:4">
      <c r="D867" s="31"/>
    </row>
    <row r="868" spans="4:4">
      <c r="D868" s="31"/>
    </row>
    <row r="869" spans="4:4">
      <c r="D869" s="31"/>
    </row>
    <row r="870" spans="4:4">
      <c r="D870" s="31"/>
    </row>
    <row r="871" spans="4:4">
      <c r="D871" s="31"/>
    </row>
    <row r="872" spans="4:4">
      <c r="D872" s="31"/>
    </row>
    <row r="873" spans="4:4">
      <c r="D873" s="31"/>
    </row>
    <row r="874" spans="4:4">
      <c r="D874" s="31"/>
    </row>
    <row r="875" spans="4:4">
      <c r="D875" s="31"/>
    </row>
    <row r="876" spans="4:4">
      <c r="D876" s="31"/>
    </row>
    <row r="877" spans="4:4">
      <c r="D877" s="31"/>
    </row>
    <row r="878" spans="4:4">
      <c r="D878" s="31"/>
    </row>
    <row r="879" spans="4:4">
      <c r="D879" s="31"/>
    </row>
    <row r="880" spans="4:4">
      <c r="D880" s="31"/>
    </row>
    <row r="881" spans="4:4">
      <c r="D881" s="31"/>
    </row>
    <row r="882" spans="4:4">
      <c r="D882" s="31"/>
    </row>
    <row r="883" spans="4:4">
      <c r="D883" s="31"/>
    </row>
    <row r="884" spans="4:4">
      <c r="D884" s="31"/>
    </row>
    <row r="885" spans="4:4">
      <c r="D885" s="31"/>
    </row>
    <row r="886" spans="4:4">
      <c r="D886" s="31"/>
    </row>
    <row r="887" spans="4:4">
      <c r="D887" s="31"/>
    </row>
    <row r="888" spans="4:4">
      <c r="D888" s="31"/>
    </row>
    <row r="889" spans="4:4">
      <c r="D889" s="31"/>
    </row>
    <row r="890" spans="4:4">
      <c r="D890" s="31"/>
    </row>
    <row r="891" spans="4:4">
      <c r="D891" s="31"/>
    </row>
    <row r="892" spans="4:4">
      <c r="D892" s="31"/>
    </row>
    <row r="893" spans="4:4">
      <c r="D893" s="31"/>
    </row>
    <row r="894" spans="4:4">
      <c r="D894" s="31"/>
    </row>
    <row r="895" spans="4:4">
      <c r="D895" s="31"/>
    </row>
    <row r="896" spans="4:4">
      <c r="D896" s="31"/>
    </row>
    <row r="897" spans="4:4">
      <c r="D897" s="31"/>
    </row>
    <row r="898" spans="4:4">
      <c r="D898" s="31"/>
    </row>
    <row r="899" spans="4:4">
      <c r="D899" s="31"/>
    </row>
    <row r="900" spans="4:4">
      <c r="D900" s="31"/>
    </row>
    <row r="901" spans="4:4">
      <c r="D901" s="31"/>
    </row>
    <row r="902" spans="4:4">
      <c r="D902" s="31"/>
    </row>
    <row r="903" spans="4:4">
      <c r="D903" s="31"/>
    </row>
    <row r="904" spans="4:4">
      <c r="D904" s="31"/>
    </row>
    <row r="905" spans="4:4">
      <c r="D905" s="31"/>
    </row>
    <row r="906" spans="4:4">
      <c r="D906" s="31"/>
    </row>
    <row r="907" spans="4:4">
      <c r="D907" s="31"/>
    </row>
    <row r="908" spans="4:4">
      <c r="D908" s="31"/>
    </row>
    <row r="909" spans="4:4">
      <c r="D909" s="31"/>
    </row>
    <row r="910" spans="4:4">
      <c r="D910" s="31"/>
    </row>
    <row r="911" spans="4:4">
      <c r="D911" s="31"/>
    </row>
    <row r="912" spans="4:4">
      <c r="D912" s="31"/>
    </row>
    <row r="913" spans="4:4">
      <c r="D913" s="31"/>
    </row>
    <row r="914" spans="4:4">
      <c r="D914" s="31"/>
    </row>
    <row r="915" spans="4:4">
      <c r="D915" s="31"/>
    </row>
    <row r="916" spans="4:4">
      <c r="D916" s="31"/>
    </row>
    <row r="917" spans="4:4">
      <c r="D917" s="31"/>
    </row>
    <row r="918" spans="4:4">
      <c r="D918" s="31"/>
    </row>
    <row r="919" spans="4:4">
      <c r="D919" s="31"/>
    </row>
    <row r="920" spans="4:4">
      <c r="D920" s="31"/>
    </row>
    <row r="921" spans="4:4">
      <c r="D921" s="31"/>
    </row>
    <row r="922" spans="4:4">
      <c r="D922" s="31"/>
    </row>
    <row r="923" spans="4:4">
      <c r="D923" s="31"/>
    </row>
    <row r="924" spans="4:4">
      <c r="D924" s="31"/>
    </row>
    <row r="925" spans="4:4">
      <c r="D925" s="31"/>
    </row>
    <row r="926" spans="4:4">
      <c r="D926" s="31"/>
    </row>
    <row r="928" spans="4:4">
      <c r="D928" s="31"/>
    </row>
    <row r="929" spans="4:4">
      <c r="D929" s="31"/>
    </row>
    <row r="930" spans="4:4">
      <c r="D930" s="31"/>
    </row>
    <row r="931" spans="4:4">
      <c r="D931" s="31"/>
    </row>
    <row r="932" spans="4:4">
      <c r="D932" s="31"/>
    </row>
    <row r="933" spans="4:4">
      <c r="D933" s="31"/>
    </row>
    <row r="934" spans="4:4">
      <c r="D934" s="31"/>
    </row>
    <row r="935" spans="4:4">
      <c r="D935" s="31"/>
    </row>
    <row r="936" spans="4:4">
      <c r="D936" s="31"/>
    </row>
    <row r="937" spans="4:4">
      <c r="D937" s="31"/>
    </row>
    <row r="938" spans="4:4">
      <c r="D938" s="31"/>
    </row>
    <row r="939" spans="4:4">
      <c r="D939" s="31"/>
    </row>
    <row r="940" spans="4:4">
      <c r="D940" s="31"/>
    </row>
    <row r="941" spans="4:4">
      <c r="D941" s="31"/>
    </row>
    <row r="942" spans="4:4">
      <c r="D942" s="31"/>
    </row>
    <row r="943" spans="4:4">
      <c r="D943" s="31"/>
    </row>
    <row r="944" spans="4:4">
      <c r="D944" s="31"/>
    </row>
    <row r="945" spans="4:4">
      <c r="D945" s="31"/>
    </row>
    <row r="946" spans="4:4">
      <c r="D946" s="31"/>
    </row>
    <row r="947" spans="4:4">
      <c r="D947" s="31"/>
    </row>
    <row r="948" spans="4:4">
      <c r="D948" s="31"/>
    </row>
    <row r="949" spans="4:4">
      <c r="D949" s="31"/>
    </row>
    <row r="950" spans="4:4">
      <c r="D950" s="31"/>
    </row>
    <row r="951" spans="4:4">
      <c r="D951" s="31"/>
    </row>
    <row r="952" spans="4:4">
      <c r="D952" s="31"/>
    </row>
    <row r="953" spans="4:4">
      <c r="D953" s="31"/>
    </row>
    <row r="954" spans="4:4">
      <c r="D954" s="31"/>
    </row>
    <row r="955" spans="4:4">
      <c r="D955" s="31"/>
    </row>
    <row r="956" spans="4:4">
      <c r="D956" s="31"/>
    </row>
    <row r="957" spans="4:4">
      <c r="D957" s="31"/>
    </row>
    <row r="958" spans="4:4">
      <c r="D958" s="31"/>
    </row>
    <row r="959" spans="4:4">
      <c r="D959" s="31"/>
    </row>
    <row r="960" spans="4:4">
      <c r="D960" s="31"/>
    </row>
    <row r="961" spans="4:4">
      <c r="D961" s="31"/>
    </row>
    <row r="962" spans="4:4">
      <c r="D962" s="31"/>
    </row>
    <row r="963" spans="4:4">
      <c r="D963" s="31"/>
    </row>
    <row r="964" spans="4:4">
      <c r="D964" s="31"/>
    </row>
    <row r="965" spans="4:4">
      <c r="D965" s="31"/>
    </row>
    <row r="966" spans="4:4">
      <c r="D966" s="31"/>
    </row>
    <row r="967" spans="4:4">
      <c r="D967" s="31"/>
    </row>
    <row r="968" spans="4:4">
      <c r="D968" s="31"/>
    </row>
    <row r="969" spans="4:4">
      <c r="D969" s="31"/>
    </row>
    <row r="970" spans="4:4">
      <c r="D970" s="31"/>
    </row>
    <row r="971" spans="4:4">
      <c r="D971" s="31"/>
    </row>
    <row r="972" spans="4:4">
      <c r="D972" s="31"/>
    </row>
    <row r="973" spans="4:4">
      <c r="D973" s="31"/>
    </row>
    <row r="974" spans="4:4">
      <c r="D974" s="31"/>
    </row>
    <row r="975" spans="4:4">
      <c r="D975" s="31"/>
    </row>
    <row r="976" spans="4:4">
      <c r="D976" s="31"/>
    </row>
    <row r="977" spans="4:4">
      <c r="D977" s="31"/>
    </row>
    <row r="978" spans="4:4">
      <c r="D978" s="31"/>
    </row>
    <row r="979" spans="4:4">
      <c r="D979" s="31"/>
    </row>
    <row r="980" spans="4:4">
      <c r="D980" s="31"/>
    </row>
    <row r="981" spans="4:4">
      <c r="D981" s="31"/>
    </row>
    <row r="982" spans="4:4">
      <c r="D982" s="31"/>
    </row>
    <row r="983" spans="4:4">
      <c r="D983" s="31"/>
    </row>
    <row r="984" spans="4:4">
      <c r="D984" s="31"/>
    </row>
    <row r="985" spans="4:4">
      <c r="D985" s="31"/>
    </row>
    <row r="986" spans="4:4">
      <c r="D986" s="31"/>
    </row>
    <row r="987" spans="4:4">
      <c r="D987" s="31"/>
    </row>
    <row r="988" spans="4:4">
      <c r="D988" s="31"/>
    </row>
    <row r="989" spans="4:4">
      <c r="D989" s="31"/>
    </row>
    <row r="990" spans="4:4">
      <c r="D990" s="31"/>
    </row>
    <row r="991" spans="4:4">
      <c r="D991" s="31"/>
    </row>
    <row r="992" spans="4:4">
      <c r="D992" s="31"/>
    </row>
    <row r="993" spans="4:4">
      <c r="D993" s="31"/>
    </row>
    <row r="994" spans="4:4">
      <c r="D994" s="31"/>
    </row>
    <row r="995" spans="4:4">
      <c r="D995" s="31"/>
    </row>
    <row r="996" spans="4:4">
      <c r="D996" s="31"/>
    </row>
    <row r="997" spans="4:4">
      <c r="D997" s="31"/>
    </row>
    <row r="998" spans="4:4">
      <c r="D998" s="31"/>
    </row>
    <row r="999" spans="4:4">
      <c r="D999" s="31"/>
    </row>
    <row r="1000" spans="4:4">
      <c r="D1000" s="31"/>
    </row>
    <row r="1001" spans="4:4">
      <c r="D1001" s="31"/>
    </row>
    <row r="1002" spans="4:4">
      <c r="D1002" s="31"/>
    </row>
    <row r="1003" spans="4:4">
      <c r="D1003" s="31"/>
    </row>
    <row r="1004" spans="4:4">
      <c r="D1004" s="31"/>
    </row>
    <row r="1005" spans="4:4">
      <c r="D1005" s="31"/>
    </row>
    <row r="1006" spans="4:4">
      <c r="D1006" s="31"/>
    </row>
    <row r="1007" spans="4:4">
      <c r="D1007" s="31"/>
    </row>
    <row r="1008" spans="4:4">
      <c r="D1008" s="31"/>
    </row>
    <row r="1009" spans="4:4">
      <c r="D1009" s="31"/>
    </row>
    <row r="1010" spans="4:4">
      <c r="D1010" s="31"/>
    </row>
    <row r="1011" spans="4:4">
      <c r="D1011" s="31"/>
    </row>
    <row r="1012" spans="4:4">
      <c r="D1012" s="31"/>
    </row>
    <row r="1013" spans="4:4">
      <c r="D1013" s="31"/>
    </row>
    <row r="1014" spans="4:4">
      <c r="D1014" s="31"/>
    </row>
    <row r="1015" spans="4:4">
      <c r="D1015" s="31"/>
    </row>
    <row r="1016" spans="4:4">
      <c r="D1016" s="31"/>
    </row>
    <row r="1017" spans="4:4">
      <c r="D1017" s="31"/>
    </row>
    <row r="1018" spans="4:4">
      <c r="D1018" s="31"/>
    </row>
    <row r="1019" spans="4:4">
      <c r="D1019" s="31"/>
    </row>
    <row r="1020" spans="4:4">
      <c r="D1020" s="31"/>
    </row>
    <row r="1021" spans="4:4">
      <c r="D1021" s="31"/>
    </row>
    <row r="1022" spans="4:4">
      <c r="D1022" s="31"/>
    </row>
    <row r="1023" spans="4:4">
      <c r="D1023" s="31"/>
    </row>
    <row r="1024" spans="4:4">
      <c r="D1024" s="31"/>
    </row>
    <row r="1025" spans="4:4">
      <c r="D1025" s="31"/>
    </row>
    <row r="1026" spans="4:4">
      <c r="D1026" s="31"/>
    </row>
    <row r="1027" spans="4:4">
      <c r="D1027" s="31"/>
    </row>
    <row r="1028" spans="4:4">
      <c r="D1028" s="31"/>
    </row>
    <row r="1029" spans="4:4">
      <c r="D1029" s="31"/>
    </row>
    <row r="1030" spans="4:4">
      <c r="D1030" s="31"/>
    </row>
    <row r="1031" spans="4:4">
      <c r="D1031" s="31"/>
    </row>
    <row r="1032" spans="4:4">
      <c r="D1032" s="31"/>
    </row>
    <row r="1033" spans="4:4">
      <c r="D1033" s="31"/>
    </row>
    <row r="1034" spans="4:4">
      <c r="D1034" s="31"/>
    </row>
    <row r="1035" spans="4:4">
      <c r="D1035" s="31"/>
    </row>
    <row r="1036" spans="4:4">
      <c r="D1036" s="31"/>
    </row>
    <row r="1037" spans="4:4">
      <c r="D1037" s="31"/>
    </row>
    <row r="1038" spans="4:4">
      <c r="D1038" s="31"/>
    </row>
    <row r="1039" spans="4:4">
      <c r="D1039" s="31"/>
    </row>
    <row r="1040" spans="4:4">
      <c r="D1040" s="31"/>
    </row>
    <row r="1041" spans="4:4">
      <c r="D1041" s="31"/>
    </row>
    <row r="1042" spans="4:4">
      <c r="D1042" s="31"/>
    </row>
    <row r="1043" spans="4:4">
      <c r="D1043" s="31"/>
    </row>
    <row r="1044" spans="4:4">
      <c r="D1044" s="31"/>
    </row>
    <row r="1045" spans="4:4">
      <c r="D1045" s="31"/>
    </row>
    <row r="1046" spans="4:4">
      <c r="D1046" s="31"/>
    </row>
    <row r="1047" spans="4:4">
      <c r="D1047" s="31"/>
    </row>
    <row r="1048" spans="4:4">
      <c r="D1048" s="31"/>
    </row>
    <row r="1049" spans="4:4">
      <c r="D1049" s="31"/>
    </row>
    <row r="1050" spans="4:4">
      <c r="D1050" s="31"/>
    </row>
    <row r="1051" spans="4:4">
      <c r="D1051" s="31"/>
    </row>
    <row r="1052" spans="4:4">
      <c r="D1052" s="31"/>
    </row>
    <row r="1053" spans="4:4">
      <c r="D1053" s="31"/>
    </row>
    <row r="1054" spans="4:4">
      <c r="D1054" s="31"/>
    </row>
    <row r="1055" spans="4:4">
      <c r="D1055" s="31"/>
    </row>
    <row r="1056" spans="4:4">
      <c r="D1056" s="31"/>
    </row>
    <row r="1057" spans="4:4">
      <c r="D1057" s="31"/>
    </row>
    <row r="1058" spans="4:4">
      <c r="D1058" s="31"/>
    </row>
    <row r="1059" spans="4:4">
      <c r="D1059" s="31"/>
    </row>
    <row r="1060" spans="4:4">
      <c r="D1060" s="31"/>
    </row>
    <row r="1061" spans="4:4">
      <c r="D1061" s="31"/>
    </row>
    <row r="1062" spans="4:4">
      <c r="D1062" s="31"/>
    </row>
    <row r="1063" spans="4:4">
      <c r="D1063" s="31"/>
    </row>
    <row r="1064" spans="4:4">
      <c r="D1064" s="31"/>
    </row>
    <row r="1065" spans="4:4">
      <c r="D1065" s="31"/>
    </row>
    <row r="1066" spans="4:4">
      <c r="D1066" s="31"/>
    </row>
    <row r="1067" spans="4:4">
      <c r="D1067" s="31"/>
    </row>
    <row r="1068" spans="4:4">
      <c r="D1068" s="31"/>
    </row>
    <row r="1069" spans="4:4">
      <c r="D1069" s="31"/>
    </row>
    <row r="1070" spans="4:4">
      <c r="D1070" s="31"/>
    </row>
    <row r="1071" spans="4:4">
      <c r="D1071" s="31"/>
    </row>
    <row r="1072" spans="4:4">
      <c r="D1072" s="31"/>
    </row>
    <row r="1073" spans="4:4">
      <c r="D1073" s="31"/>
    </row>
    <row r="1074" spans="4:4">
      <c r="D1074" s="31"/>
    </row>
    <row r="1075" spans="4:4">
      <c r="D1075" s="31"/>
    </row>
    <row r="1076" spans="4:4">
      <c r="D1076" s="31"/>
    </row>
    <row r="1077" spans="4:4">
      <c r="D1077" s="31"/>
    </row>
    <row r="1078" spans="4:4">
      <c r="D1078" s="31"/>
    </row>
    <row r="1079" spans="4:4">
      <c r="D1079" s="31"/>
    </row>
    <row r="1080" spans="4:4">
      <c r="D1080" s="31"/>
    </row>
    <row r="1081" spans="4:4">
      <c r="D1081" s="31"/>
    </row>
    <row r="1082" spans="4:4">
      <c r="D1082" s="31"/>
    </row>
    <row r="1083" spans="4:4">
      <c r="D1083" s="31"/>
    </row>
    <row r="1084" spans="4:4">
      <c r="D1084" s="31"/>
    </row>
    <row r="1085" spans="4:4">
      <c r="D1085" s="31"/>
    </row>
    <row r="1086" spans="4:4">
      <c r="D1086" s="31"/>
    </row>
    <row r="1087" spans="4:4">
      <c r="D1087" s="31"/>
    </row>
    <row r="1088" spans="4:4">
      <c r="D1088" s="31"/>
    </row>
    <row r="1089" spans="4:4">
      <c r="D1089" s="31"/>
    </row>
    <row r="1090" spans="4:4">
      <c r="D1090" s="31"/>
    </row>
    <row r="1091" spans="4:4">
      <c r="D1091" s="31"/>
    </row>
    <row r="1092" spans="4:4">
      <c r="D1092" s="31"/>
    </row>
    <row r="1093" spans="4:4">
      <c r="D1093" s="31"/>
    </row>
    <row r="1094" spans="4:4">
      <c r="D1094" s="31"/>
    </row>
    <row r="1095" spans="4:4">
      <c r="D1095" s="31"/>
    </row>
    <row r="1096" spans="4:4">
      <c r="D1096" s="31"/>
    </row>
    <row r="1097" spans="4:4">
      <c r="D1097" s="31"/>
    </row>
    <row r="1098" spans="4:4">
      <c r="D1098" s="31"/>
    </row>
    <row r="1099" spans="4:4">
      <c r="D1099" s="31"/>
    </row>
    <row r="1100" spans="4:4">
      <c r="D1100" s="31"/>
    </row>
    <row r="1101" spans="4:4">
      <c r="D1101" s="31"/>
    </row>
    <row r="1102" spans="4:4">
      <c r="D1102" s="31"/>
    </row>
    <row r="1103" spans="4:4">
      <c r="D1103" s="31"/>
    </row>
    <row r="1104" spans="4:4">
      <c r="D1104" s="31"/>
    </row>
    <row r="1105" spans="4:4">
      <c r="D1105" s="31"/>
    </row>
    <row r="1106" spans="4:4">
      <c r="D1106" s="31"/>
    </row>
    <row r="1107" spans="4:4">
      <c r="D1107" s="31"/>
    </row>
    <row r="1108" spans="4:4">
      <c r="D1108" s="31"/>
    </row>
    <row r="1109" spans="4:4">
      <c r="D1109" s="31"/>
    </row>
    <row r="1110" spans="4:4">
      <c r="D1110" s="31"/>
    </row>
    <row r="1111" spans="4:4">
      <c r="D1111" s="31"/>
    </row>
    <row r="1112" spans="4:4">
      <c r="D1112" s="31"/>
    </row>
    <row r="1113" spans="4:4">
      <c r="D1113" s="31"/>
    </row>
    <row r="1114" spans="4:4">
      <c r="D1114" s="31"/>
    </row>
    <row r="1115" spans="4:4">
      <c r="D1115" s="31"/>
    </row>
    <row r="1116" spans="4:4">
      <c r="D1116" s="31"/>
    </row>
    <row r="1117" spans="4:4">
      <c r="D1117" s="31"/>
    </row>
    <row r="1118" spans="4:4">
      <c r="D1118" s="31"/>
    </row>
    <row r="1119" spans="4:4">
      <c r="D1119" s="31"/>
    </row>
    <row r="1120" spans="4:4">
      <c r="D1120" s="31"/>
    </row>
    <row r="1121" spans="4:4">
      <c r="D1121" s="31"/>
    </row>
    <row r="1122" spans="4:4">
      <c r="D1122" s="31"/>
    </row>
    <row r="1123" spans="4:4">
      <c r="D1123" s="31"/>
    </row>
    <row r="1124" spans="4:4">
      <c r="D1124" s="31"/>
    </row>
    <row r="1125" spans="4:4">
      <c r="D1125" s="31"/>
    </row>
    <row r="1126" spans="4:4">
      <c r="D1126" s="31"/>
    </row>
    <row r="1127" spans="4:4">
      <c r="D1127" s="31"/>
    </row>
    <row r="1128" spans="4:4">
      <c r="D1128" s="31"/>
    </row>
    <row r="1129" spans="4:4">
      <c r="D1129" s="31"/>
    </row>
    <row r="1130" spans="4:4">
      <c r="D1130" s="31"/>
    </row>
    <row r="1131" spans="4:4">
      <c r="D1131" s="31"/>
    </row>
    <row r="1132" spans="4:4">
      <c r="D1132" s="31"/>
    </row>
    <row r="1133" spans="4:4">
      <c r="D1133" s="31"/>
    </row>
    <row r="1134" spans="4:4">
      <c r="D1134" s="31"/>
    </row>
    <row r="1135" spans="4:4">
      <c r="D1135" s="31"/>
    </row>
    <row r="1136" spans="4:4">
      <c r="D1136" s="31"/>
    </row>
    <row r="1137" spans="4:4">
      <c r="D1137" s="31"/>
    </row>
    <row r="1138" spans="4:4">
      <c r="D1138" s="31"/>
    </row>
    <row r="1139" spans="4:4">
      <c r="D1139" s="31"/>
    </row>
    <row r="1140" spans="4:4">
      <c r="D1140" s="31"/>
    </row>
    <row r="1141" spans="4:4">
      <c r="D1141" s="31"/>
    </row>
    <row r="1142" spans="4:4">
      <c r="D1142" s="31"/>
    </row>
    <row r="1143" spans="4:4">
      <c r="D1143" s="31"/>
    </row>
    <row r="1144" spans="4:4">
      <c r="D1144" s="31"/>
    </row>
    <row r="1145" spans="4:4">
      <c r="D1145" s="31"/>
    </row>
    <row r="1146" spans="4:4">
      <c r="D1146" s="31"/>
    </row>
    <row r="1147" spans="4:4">
      <c r="D1147" s="31"/>
    </row>
    <row r="1148" spans="4:4">
      <c r="D1148" s="31"/>
    </row>
    <row r="1149" spans="4:4">
      <c r="D1149" s="31"/>
    </row>
    <row r="1150" spans="4:4">
      <c r="D1150" s="31"/>
    </row>
    <row r="1151" spans="4:4">
      <c r="D1151" s="31"/>
    </row>
    <row r="1152" spans="4:4">
      <c r="D1152" s="31"/>
    </row>
    <row r="1153" spans="4:4">
      <c r="D1153" s="31"/>
    </row>
    <row r="1154" spans="4:4">
      <c r="D1154" s="31"/>
    </row>
    <row r="1155" spans="4:4">
      <c r="D1155" s="31"/>
    </row>
    <row r="1156" spans="4:4">
      <c r="D1156" s="31"/>
    </row>
    <row r="1157" spans="4:4">
      <c r="D1157" s="31"/>
    </row>
    <row r="1158" spans="4:4">
      <c r="D1158" s="31"/>
    </row>
    <row r="1159" spans="4:4">
      <c r="D1159" s="31"/>
    </row>
    <row r="1160" spans="4:4">
      <c r="D1160" s="31"/>
    </row>
    <row r="1161" spans="4:4">
      <c r="D1161" s="31"/>
    </row>
    <row r="1162" spans="4:4">
      <c r="D1162" s="31"/>
    </row>
    <row r="1163" spans="4:4">
      <c r="D1163" s="31"/>
    </row>
    <row r="1164" spans="4:4">
      <c r="D1164" s="31"/>
    </row>
    <row r="1165" spans="4:4">
      <c r="D1165" s="31"/>
    </row>
    <row r="1166" spans="4:4">
      <c r="D1166" s="31"/>
    </row>
    <row r="1167" spans="4:4">
      <c r="D1167" s="31"/>
    </row>
    <row r="1168" spans="4:4">
      <c r="D1168" s="31"/>
    </row>
    <row r="1169" spans="4:4">
      <c r="D1169" s="31"/>
    </row>
    <row r="1170" spans="4:4">
      <c r="D1170" s="31"/>
    </row>
    <row r="1171" spans="4:4">
      <c r="D1171" s="31"/>
    </row>
    <row r="1172" spans="4:4">
      <c r="D1172" s="31"/>
    </row>
    <row r="1173" spans="4:4">
      <c r="D1173" s="31"/>
    </row>
    <row r="1174" spans="4:4">
      <c r="D1174" s="31"/>
    </row>
    <row r="1175" spans="4:4">
      <c r="D1175" s="31"/>
    </row>
    <row r="1176" spans="4:4">
      <c r="D1176" s="31"/>
    </row>
    <row r="1177" spans="4:4">
      <c r="D1177" s="31"/>
    </row>
    <row r="1178" spans="4:4">
      <c r="D1178" s="31"/>
    </row>
    <row r="1179" spans="4:4">
      <c r="D1179" s="31"/>
    </row>
    <row r="1180" spans="4:4">
      <c r="D1180" s="31"/>
    </row>
    <row r="1181" spans="4:4">
      <c r="D1181" s="31"/>
    </row>
    <row r="1182" spans="4:4">
      <c r="D1182" s="31"/>
    </row>
    <row r="1183" spans="4:4">
      <c r="D1183" s="31"/>
    </row>
    <row r="1184" spans="4:4">
      <c r="D1184" s="31"/>
    </row>
    <row r="1185" spans="4:4">
      <c r="D1185" s="31"/>
    </row>
    <row r="1186" spans="4:4">
      <c r="D1186" s="31"/>
    </row>
    <row r="1187" spans="4:4">
      <c r="D1187" s="31"/>
    </row>
    <row r="1188" spans="4:4">
      <c r="D1188" s="31"/>
    </row>
    <row r="1189" spans="4:4">
      <c r="D1189" s="31"/>
    </row>
    <row r="1190" spans="4:4">
      <c r="D1190" s="31"/>
    </row>
    <row r="1191" spans="4:4">
      <c r="D1191" s="31"/>
    </row>
    <row r="1192" spans="4:4">
      <c r="D1192" s="31"/>
    </row>
    <row r="1193" spans="4:4">
      <c r="D1193" s="31"/>
    </row>
    <row r="1194" spans="4:4">
      <c r="D1194" s="31"/>
    </row>
    <row r="1195" spans="4:4">
      <c r="D1195" s="31"/>
    </row>
    <row r="1196" spans="4:4">
      <c r="D1196" s="31"/>
    </row>
    <row r="1198" spans="4:4">
      <c r="D1198" s="31"/>
    </row>
    <row r="1199" spans="4:4">
      <c r="D1199" s="31"/>
    </row>
    <row r="1200" spans="4:4">
      <c r="D1200" s="31"/>
    </row>
    <row r="1201" spans="4:4">
      <c r="D1201" s="31"/>
    </row>
    <row r="1202" spans="4:4">
      <c r="D1202" s="31"/>
    </row>
    <row r="1203" spans="4:4">
      <c r="D1203" s="31"/>
    </row>
    <row r="1204" spans="4:4">
      <c r="D1204" s="31"/>
    </row>
    <row r="1205" spans="4:4">
      <c r="D1205" s="31"/>
    </row>
    <row r="1206" spans="4:4">
      <c r="D1206" s="31"/>
    </row>
    <row r="1207" spans="4:4">
      <c r="D1207" s="31"/>
    </row>
    <row r="1208" spans="4:4">
      <c r="D1208" s="31"/>
    </row>
    <row r="1209" spans="4:4">
      <c r="D1209" s="31"/>
    </row>
    <row r="1210" spans="4:4">
      <c r="D1210" s="31"/>
    </row>
    <row r="1211" spans="4:4">
      <c r="D1211" s="31"/>
    </row>
    <row r="1212" spans="4:4">
      <c r="D1212" s="31"/>
    </row>
    <row r="1213" spans="4:4">
      <c r="D1213" s="31"/>
    </row>
    <row r="1214" spans="4:4">
      <c r="D1214" s="31"/>
    </row>
    <row r="1215" spans="4:4">
      <c r="D1215" s="31"/>
    </row>
    <row r="1216" spans="4:4">
      <c r="D1216" s="31"/>
    </row>
    <row r="1217" spans="4:4">
      <c r="D1217" s="31"/>
    </row>
    <row r="1218" spans="4:4">
      <c r="D1218" s="31"/>
    </row>
    <row r="1219" spans="4:4">
      <c r="D1219" s="31"/>
    </row>
    <row r="1220" spans="4:4">
      <c r="D1220" s="31"/>
    </row>
    <row r="1221" spans="4:4">
      <c r="D1221" s="31"/>
    </row>
    <row r="1222" spans="4:4">
      <c r="D1222" s="31"/>
    </row>
    <row r="1223" spans="4:4">
      <c r="D1223" s="31"/>
    </row>
    <row r="1224" spans="4:4">
      <c r="D1224" s="31"/>
    </row>
    <row r="1225" spans="4:4">
      <c r="D1225" s="31"/>
    </row>
    <row r="1226" spans="4:4">
      <c r="D1226" s="31"/>
    </row>
    <row r="1227" spans="4:4">
      <c r="D1227" s="31"/>
    </row>
    <row r="1228" spans="4:4">
      <c r="D1228" s="31"/>
    </row>
    <row r="1229" spans="4:4">
      <c r="D1229" s="31"/>
    </row>
    <row r="1230" spans="4:4">
      <c r="D1230" s="31"/>
    </row>
    <row r="1231" spans="4:4">
      <c r="D1231" s="31"/>
    </row>
    <row r="1232" spans="4:4">
      <c r="D1232" s="31"/>
    </row>
    <row r="1233" spans="4:4">
      <c r="D1233" s="31"/>
    </row>
    <row r="1234" spans="4:4">
      <c r="D1234" s="31"/>
    </row>
    <row r="1235" spans="4:4">
      <c r="D1235" s="31"/>
    </row>
    <row r="1236" spans="4:4">
      <c r="D1236" s="31"/>
    </row>
    <row r="1237" spans="4:4">
      <c r="D1237" s="31"/>
    </row>
    <row r="1238" spans="4:4">
      <c r="D1238" s="31"/>
    </row>
    <row r="1239" spans="4:4">
      <c r="D1239" s="31"/>
    </row>
    <row r="1240" spans="4:4">
      <c r="D1240" s="31"/>
    </row>
    <row r="1241" spans="4:4">
      <c r="D1241" s="31"/>
    </row>
    <row r="1242" spans="4:4">
      <c r="D1242" s="31"/>
    </row>
    <row r="1243" spans="4:4">
      <c r="D1243" s="31"/>
    </row>
    <row r="1244" spans="4:4">
      <c r="D1244" s="31"/>
    </row>
    <row r="1245" spans="4:4">
      <c r="D1245" s="31"/>
    </row>
    <row r="1246" spans="4:4">
      <c r="D1246" s="31"/>
    </row>
    <row r="1247" spans="4:4">
      <c r="D1247" s="31"/>
    </row>
    <row r="1248" spans="4:4">
      <c r="D1248" s="31"/>
    </row>
    <row r="1249" spans="4:4">
      <c r="D1249" s="31"/>
    </row>
    <row r="1250" spans="4:4">
      <c r="D1250" s="31"/>
    </row>
    <row r="1251" spans="4:4">
      <c r="D1251" s="31"/>
    </row>
    <row r="1252" spans="4:4">
      <c r="D1252" s="31"/>
    </row>
    <row r="1253" spans="4:4">
      <c r="D1253" s="31"/>
    </row>
    <row r="1254" spans="4:4">
      <c r="D1254" s="31"/>
    </row>
    <row r="1255" spans="4:4">
      <c r="D1255" s="31"/>
    </row>
    <row r="1256" spans="4:4">
      <c r="D1256" s="31"/>
    </row>
    <row r="1257" spans="4:4">
      <c r="D1257" s="31"/>
    </row>
    <row r="1258" spans="4:4">
      <c r="D1258" s="31"/>
    </row>
    <row r="1259" spans="4:4">
      <c r="D1259" s="31"/>
    </row>
    <row r="1260" spans="4:4">
      <c r="D1260" s="31"/>
    </row>
    <row r="1261" spans="4:4">
      <c r="D1261" s="31"/>
    </row>
    <row r="1262" spans="4:4">
      <c r="D1262" s="31"/>
    </row>
    <row r="1263" spans="4:4">
      <c r="D1263" s="31"/>
    </row>
    <row r="1264" spans="4:4">
      <c r="D1264" s="31"/>
    </row>
    <row r="1265" spans="4:4">
      <c r="D1265" s="31"/>
    </row>
    <row r="1266" spans="4:4">
      <c r="D1266" s="31"/>
    </row>
    <row r="1267" spans="4:4">
      <c r="D1267" s="31"/>
    </row>
    <row r="1268" spans="4:4">
      <c r="D1268" s="31"/>
    </row>
    <row r="1269" spans="4:4">
      <c r="D1269" s="31"/>
    </row>
    <row r="1270" spans="4:4">
      <c r="D1270" s="31"/>
    </row>
    <row r="1271" spans="4:4">
      <c r="D1271" s="31"/>
    </row>
    <row r="1272" spans="4:4">
      <c r="D1272" s="31"/>
    </row>
    <row r="1273" spans="4:4">
      <c r="D1273" s="31"/>
    </row>
  </sheetData>
  <phoneticPr fontId="1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7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21.1640625" style="2" customWidth="1"/>
    <col min="2" max="2" width="10.5" style="2" customWidth="1"/>
    <col min="3" max="3" width="9.6640625" style="2" customWidth="1"/>
    <col min="4" max="4" width="10" style="45" customWidth="1"/>
    <col min="5" max="5" width="12.6640625" style="2" customWidth="1"/>
    <col min="6" max="6" width="16.83203125" style="2" customWidth="1"/>
    <col min="7" max="7" width="14.1640625" style="2" customWidth="1"/>
    <col min="8" max="8" width="16.83203125" style="101" customWidth="1"/>
    <col min="9" max="9" width="10.83203125" style="2"/>
    <col min="10" max="10" width="10.83203125" style="89"/>
    <col min="11" max="11" width="10.83203125" style="2"/>
    <col min="12" max="12" width="10.83203125" style="89"/>
    <col min="13" max="13" width="10.83203125" style="2"/>
    <col min="14" max="14" width="14.6640625" style="89" customWidth="1"/>
    <col min="15" max="15" width="10.83203125" style="2"/>
    <col min="16" max="16" width="16.5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49</v>
      </c>
      <c r="B2" s="1" t="s">
        <v>50</v>
      </c>
      <c r="C2" s="27">
        <v>66.042994999999991</v>
      </c>
      <c r="D2" s="28">
        <f t="shared" ref="D2:D35" si="0">C2*1000</f>
        <v>66042.994999999995</v>
      </c>
      <c r="E2" s="1" t="s">
        <v>26</v>
      </c>
      <c r="F2" s="29">
        <v>17.693281337018753</v>
      </c>
      <c r="G2" s="30">
        <v>2.55057281686957</v>
      </c>
      <c r="H2" s="101">
        <f>(F2-15.85914744)/1.113306294</f>
        <v>1.6474656677174537</v>
      </c>
      <c r="I2" s="3">
        <v>0.93989169273100004</v>
      </c>
      <c r="J2" s="88">
        <v>66000</v>
      </c>
      <c r="K2" s="3">
        <v>1.1566195696899999</v>
      </c>
      <c r="L2" s="88">
        <v>66000</v>
      </c>
      <c r="M2" s="3">
        <v>0.27878490886700003</v>
      </c>
      <c r="N2" s="88">
        <v>66000</v>
      </c>
      <c r="O2" s="3">
        <v>1.1566195696899999</v>
      </c>
      <c r="P2" s="88">
        <v>66050</v>
      </c>
    </row>
    <row r="3" spans="1:16">
      <c r="A3" s="1" t="s">
        <v>49</v>
      </c>
      <c r="B3" s="1" t="s">
        <v>50</v>
      </c>
      <c r="C3" s="27">
        <v>66.049206999999996</v>
      </c>
      <c r="D3" s="28">
        <f t="shared" si="0"/>
        <v>66049.206999999995</v>
      </c>
      <c r="E3" s="1" t="s">
        <v>26</v>
      </c>
      <c r="F3" s="29">
        <v>18.314027324450315</v>
      </c>
      <c r="G3" s="30">
        <v>3.1713188043011318</v>
      </c>
      <c r="H3" s="101">
        <f t="shared" ref="H3:H35" si="1">(F3-15.85914744)/1.113306294</f>
        <v>2.205035485454927</v>
      </c>
      <c r="I3" s="3">
        <v>0.65951042579700003</v>
      </c>
      <c r="J3" s="88">
        <v>66200</v>
      </c>
      <c r="K3" s="3">
        <v>0.81260265588400005</v>
      </c>
      <c r="L3" s="88">
        <v>66150</v>
      </c>
      <c r="M3" s="3">
        <v>0.90563162914100004</v>
      </c>
      <c r="N3" s="88">
        <v>66100</v>
      </c>
      <c r="O3" s="3">
        <v>0.84385103275600004</v>
      </c>
      <c r="P3" s="88">
        <v>66100</v>
      </c>
    </row>
    <row r="4" spans="1:16">
      <c r="A4" s="1" t="s">
        <v>49</v>
      </c>
      <c r="B4" s="1" t="s">
        <v>50</v>
      </c>
      <c r="C4" s="27">
        <v>66.050759999999997</v>
      </c>
      <c r="D4" s="28">
        <f t="shared" si="0"/>
        <v>66050.759999999995</v>
      </c>
      <c r="E4" s="1" t="s">
        <v>26</v>
      </c>
      <c r="F4" s="29">
        <v>16.108389493325539</v>
      </c>
      <c r="G4" s="30">
        <v>0.96568097317635626</v>
      </c>
      <c r="H4" s="101">
        <f t="shared" si="1"/>
        <v>0.22387554500391621</v>
      </c>
      <c r="I4" s="3">
        <v>0.26142425616699999</v>
      </c>
      <c r="J4" s="88">
        <v>66400</v>
      </c>
      <c r="K4" s="3">
        <v>2.26072794839</v>
      </c>
      <c r="L4" s="88">
        <v>66300</v>
      </c>
      <c r="M4" s="3">
        <v>0.58924273619900003</v>
      </c>
      <c r="N4" s="88">
        <v>66200</v>
      </c>
      <c r="O4" s="3">
        <v>0.37983464337200001</v>
      </c>
      <c r="P4" s="88">
        <v>66150</v>
      </c>
    </row>
    <row r="5" spans="1:16">
      <c r="A5" s="1" t="s">
        <v>49</v>
      </c>
      <c r="B5" s="1" t="s">
        <v>50</v>
      </c>
      <c r="C5" s="27">
        <v>66.053865999999999</v>
      </c>
      <c r="D5" s="28">
        <f t="shared" si="0"/>
        <v>66053.865999999995</v>
      </c>
      <c r="E5" s="1" t="s">
        <v>26</v>
      </c>
      <c r="F5" s="29">
        <v>15.361145459636482</v>
      </c>
      <c r="G5" s="30">
        <v>0.21843693948729914</v>
      </c>
      <c r="H5" s="101">
        <f t="shared" si="1"/>
        <v>-0.44731803192654629</v>
      </c>
      <c r="K5" s="3">
        <v>0.313432980794</v>
      </c>
      <c r="L5" s="88">
        <v>66450</v>
      </c>
      <c r="M5" s="3">
        <v>1.6723596172599999</v>
      </c>
      <c r="N5" s="88">
        <v>66300</v>
      </c>
      <c r="O5" s="3">
        <v>0.472615425935</v>
      </c>
      <c r="P5" s="88">
        <v>66200</v>
      </c>
    </row>
    <row r="6" spans="1:16">
      <c r="A6" s="1" t="s">
        <v>49</v>
      </c>
      <c r="B6" s="1" t="s">
        <v>50</v>
      </c>
      <c r="C6" s="27">
        <v>66.056972000000002</v>
      </c>
      <c r="D6" s="28">
        <f t="shared" si="0"/>
        <v>66056.972000000009</v>
      </c>
      <c r="E6" s="1" t="s">
        <v>26</v>
      </c>
      <c r="F6" s="29">
        <v>16.139727706745507</v>
      </c>
      <c r="G6" s="30">
        <v>0.99701918659632405</v>
      </c>
      <c r="H6" s="101">
        <f t="shared" si="1"/>
        <v>0.25202432453463514</v>
      </c>
      <c r="M6" s="3">
        <v>0.133795060528</v>
      </c>
      <c r="N6" s="88">
        <v>66400</v>
      </c>
      <c r="O6" s="3">
        <v>0.56360148218799999</v>
      </c>
      <c r="P6" s="88">
        <v>66250</v>
      </c>
    </row>
    <row r="7" spans="1:16">
      <c r="A7" s="1" t="s">
        <v>49</v>
      </c>
      <c r="B7" s="1" t="s">
        <v>50</v>
      </c>
      <c r="C7" s="27">
        <v>66.06007799999999</v>
      </c>
      <c r="D7" s="28">
        <f t="shared" si="0"/>
        <v>66060.077999999994</v>
      </c>
      <c r="E7" s="1" t="s">
        <v>26</v>
      </c>
      <c r="F7" s="29">
        <v>15.628981813606664</v>
      </c>
      <c r="G7" s="30">
        <v>0.48627329345748116</v>
      </c>
      <c r="H7" s="101">
        <f t="shared" si="1"/>
        <v>-0.20674061364224616</v>
      </c>
      <c r="M7" s="3">
        <v>0.253769478582</v>
      </c>
      <c r="N7" s="88">
        <v>66500</v>
      </c>
      <c r="O7" s="3">
        <v>0.15905937522899999</v>
      </c>
      <c r="P7" s="88">
        <v>66350</v>
      </c>
    </row>
    <row r="8" spans="1:16">
      <c r="A8" s="1" t="s">
        <v>49</v>
      </c>
      <c r="B8" s="1" t="s">
        <v>50</v>
      </c>
      <c r="C8" s="27">
        <v>66.063184000000007</v>
      </c>
      <c r="D8" s="28">
        <f t="shared" si="0"/>
        <v>66063.184000000008</v>
      </c>
      <c r="E8" s="1" t="s">
        <v>26</v>
      </c>
      <c r="F8" s="29">
        <v>15.142708520149183</v>
      </c>
      <c r="G8" s="30">
        <v>0</v>
      </c>
      <c r="H8" s="101">
        <f t="shared" si="1"/>
        <v>-0.64352364098896941</v>
      </c>
      <c r="O8" s="3">
        <v>4.2015734233799999E-2</v>
      </c>
      <c r="P8" s="88">
        <v>66400</v>
      </c>
    </row>
    <row r="9" spans="1:16">
      <c r="A9" s="1" t="s">
        <v>49</v>
      </c>
      <c r="B9" s="1" t="s">
        <v>50</v>
      </c>
      <c r="C9" s="27">
        <v>66.066289999999995</v>
      </c>
      <c r="D9" s="28">
        <f t="shared" si="0"/>
        <v>66066.289999999994</v>
      </c>
      <c r="E9" s="1" t="s">
        <v>26</v>
      </c>
      <c r="F9" s="29">
        <v>16.568498983425236</v>
      </c>
      <c r="G9" s="30">
        <v>1.4257904632760532</v>
      </c>
      <c r="H9" s="101">
        <f t="shared" si="1"/>
        <v>0.63715757940845441</v>
      </c>
      <c r="O9" s="3">
        <v>0.54133660162300001</v>
      </c>
      <c r="P9" s="88">
        <v>66450</v>
      </c>
    </row>
    <row r="10" spans="1:16">
      <c r="A10" s="1" t="s">
        <v>49</v>
      </c>
      <c r="B10" s="1" t="s">
        <v>50</v>
      </c>
      <c r="C10" s="27">
        <v>66.077161000000004</v>
      </c>
      <c r="D10" s="28">
        <f t="shared" si="0"/>
        <v>66077.161000000007</v>
      </c>
      <c r="E10" s="1" t="s">
        <v>26</v>
      </c>
      <c r="F10" s="29">
        <v>16.77408252102348</v>
      </c>
      <c r="G10" s="30">
        <v>1.6313740008742972</v>
      </c>
      <c r="H10" s="101">
        <f t="shared" si="1"/>
        <v>0.82181793631670697</v>
      </c>
      <c r="O10" s="3">
        <v>0.253769478582</v>
      </c>
      <c r="P10" s="88">
        <v>66500</v>
      </c>
    </row>
    <row r="11" spans="1:16">
      <c r="A11" s="1" t="s">
        <v>49</v>
      </c>
      <c r="B11" s="1" t="s">
        <v>50</v>
      </c>
      <c r="C11" s="27">
        <v>66.088031999999998</v>
      </c>
      <c r="D11" s="28">
        <f t="shared" si="0"/>
        <v>66088.031999999992</v>
      </c>
      <c r="E11" s="1" t="s">
        <v>26</v>
      </c>
      <c r="F11" s="29">
        <v>16.600669808363481</v>
      </c>
      <c r="G11" s="30">
        <v>1.4579612882142978</v>
      </c>
      <c r="H11" s="101">
        <f t="shared" si="1"/>
        <v>0.66605423175976552</v>
      </c>
    </row>
    <row r="12" spans="1:16">
      <c r="A12" s="1" t="s">
        <v>49</v>
      </c>
      <c r="B12" s="1" t="s">
        <v>50</v>
      </c>
      <c r="C12" s="27">
        <v>66.094244000000003</v>
      </c>
      <c r="D12" s="28">
        <f t="shared" si="0"/>
        <v>66094.244000000006</v>
      </c>
      <c r="E12" s="1" t="s">
        <v>26</v>
      </c>
      <c r="F12" s="29">
        <v>16.607369487079882</v>
      </c>
      <c r="G12" s="30">
        <v>1.4646609669306994</v>
      </c>
      <c r="H12" s="101">
        <f t="shared" si="1"/>
        <v>0.67207205340732878</v>
      </c>
    </row>
    <row r="13" spans="1:16">
      <c r="A13" s="1" t="s">
        <v>49</v>
      </c>
      <c r="B13" s="1" t="s">
        <v>50</v>
      </c>
      <c r="C13" s="27">
        <v>66.098902999999993</v>
      </c>
      <c r="D13" s="28">
        <f t="shared" si="0"/>
        <v>66098.902999999991</v>
      </c>
      <c r="E13" s="1" t="s">
        <v>26</v>
      </c>
      <c r="F13" s="29">
        <v>15.523696192633333</v>
      </c>
      <c r="G13" s="30">
        <v>0.38098767248414944</v>
      </c>
      <c r="H13" s="101">
        <f t="shared" si="1"/>
        <v>-0.30131083348269172</v>
      </c>
    </row>
    <row r="14" spans="1:16">
      <c r="A14" s="1" t="s">
        <v>49</v>
      </c>
      <c r="B14" s="1" t="s">
        <v>50</v>
      </c>
      <c r="C14" s="27">
        <v>66.103561999999997</v>
      </c>
      <c r="D14" s="28">
        <f t="shared" si="0"/>
        <v>66103.561999999991</v>
      </c>
      <c r="E14" s="1" t="s">
        <v>26</v>
      </c>
      <c r="F14" s="29">
        <v>16.9951101624278</v>
      </c>
      <c r="G14" s="30">
        <v>1.8524016422786165</v>
      </c>
      <c r="H14" s="101">
        <f t="shared" si="1"/>
        <v>1.0203505796651864</v>
      </c>
    </row>
    <row r="15" spans="1:16">
      <c r="A15" s="1" t="s">
        <v>49</v>
      </c>
      <c r="B15" s="1" t="s">
        <v>50</v>
      </c>
      <c r="C15" s="27">
        <v>66.114433000000005</v>
      </c>
      <c r="D15" s="28">
        <f t="shared" si="0"/>
        <v>66114.433000000005</v>
      </c>
      <c r="E15" s="1" t="s">
        <v>26</v>
      </c>
      <c r="F15" s="29">
        <v>15.515537194188003</v>
      </c>
      <c r="G15" s="30">
        <v>0.37282867403881959</v>
      </c>
      <c r="H15" s="101">
        <f t="shared" si="1"/>
        <v>-0.30863945318896807</v>
      </c>
    </row>
    <row r="16" spans="1:16">
      <c r="A16" s="1" t="s">
        <v>49</v>
      </c>
      <c r="B16" s="1" t="s">
        <v>50</v>
      </c>
      <c r="C16" s="27">
        <v>66.125304</v>
      </c>
      <c r="D16" s="28">
        <f t="shared" si="0"/>
        <v>66125.304000000004</v>
      </c>
      <c r="E16" s="1" t="s">
        <v>26</v>
      </c>
      <c r="F16" s="29">
        <v>16.060487524803644</v>
      </c>
      <c r="G16" s="30">
        <v>0.91777900465446116</v>
      </c>
      <c r="H16" s="101">
        <f t="shared" si="1"/>
        <v>0.18084877979109409</v>
      </c>
    </row>
    <row r="17" spans="1:8">
      <c r="A17" s="1" t="s">
        <v>49</v>
      </c>
      <c r="B17" s="1" t="s">
        <v>50</v>
      </c>
      <c r="C17" s="27">
        <v>66.134621999999993</v>
      </c>
      <c r="D17" s="28">
        <f t="shared" si="0"/>
        <v>66134.621999999988</v>
      </c>
      <c r="E17" s="1" t="s">
        <v>26</v>
      </c>
      <c r="F17" s="29">
        <v>15.87499180016497</v>
      </c>
      <c r="G17" s="30">
        <v>0.73228328001578724</v>
      </c>
      <c r="H17" s="101">
        <f t="shared" si="1"/>
        <v>1.4231806871444085E-2</v>
      </c>
    </row>
    <row r="18" spans="1:8">
      <c r="A18" s="1" t="s">
        <v>49</v>
      </c>
      <c r="B18" s="1" t="s">
        <v>50</v>
      </c>
      <c r="C18" s="27">
        <v>66.147045999999989</v>
      </c>
      <c r="D18" s="28">
        <f t="shared" si="0"/>
        <v>66147.045999999988</v>
      </c>
      <c r="E18" s="1" t="s">
        <v>26</v>
      </c>
      <c r="F18" s="29">
        <v>16.297864099313284</v>
      </c>
      <c r="G18" s="30">
        <v>1.1551555791641004</v>
      </c>
      <c r="H18" s="101">
        <f t="shared" si="1"/>
        <v>0.39406645024615689</v>
      </c>
    </row>
    <row r="19" spans="1:8">
      <c r="A19" s="1" t="s">
        <v>49</v>
      </c>
      <c r="B19" s="1" t="s">
        <v>50</v>
      </c>
      <c r="C19" s="27">
        <v>66.154810999999995</v>
      </c>
      <c r="D19" s="28">
        <f t="shared" si="0"/>
        <v>66154.811000000002</v>
      </c>
      <c r="E19" s="1" t="s">
        <v>26</v>
      </c>
      <c r="F19" s="29">
        <v>16.338445286779425</v>
      </c>
      <c r="G19" s="30">
        <v>1.1957367666302421</v>
      </c>
      <c r="H19" s="101">
        <f t="shared" si="1"/>
        <v>0.43051750390932936</v>
      </c>
    </row>
    <row r="20" spans="1:8">
      <c r="A20" s="1" t="s">
        <v>49</v>
      </c>
      <c r="B20" s="1" t="s">
        <v>50</v>
      </c>
      <c r="C20" s="27">
        <v>66.16568199999999</v>
      </c>
      <c r="D20" s="28">
        <f t="shared" si="0"/>
        <v>66165.681999999986</v>
      </c>
      <c r="E20" s="1" t="s">
        <v>26</v>
      </c>
      <c r="F20" s="29">
        <v>15.507745428247059</v>
      </c>
      <c r="G20" s="30">
        <v>0.36503690809787592</v>
      </c>
      <c r="H20" s="101">
        <f t="shared" si="1"/>
        <v>-0.31563821532921305</v>
      </c>
    </row>
    <row r="21" spans="1:8">
      <c r="A21" s="1" t="s">
        <v>49</v>
      </c>
      <c r="B21" s="1" t="s">
        <v>50</v>
      </c>
      <c r="C21" s="27">
        <v>66.176552999999998</v>
      </c>
      <c r="D21" s="28">
        <f t="shared" si="0"/>
        <v>66176.553</v>
      </c>
      <c r="E21" s="1" t="s">
        <v>26</v>
      </c>
      <c r="F21" s="29">
        <v>15.464096964387043</v>
      </c>
      <c r="G21" s="30">
        <v>0.32138844423785962</v>
      </c>
      <c r="H21" s="101">
        <f t="shared" si="1"/>
        <v>-0.35484437458228946</v>
      </c>
    </row>
    <row r="22" spans="1:8">
      <c r="A22" s="1" t="s">
        <v>49</v>
      </c>
      <c r="B22" s="1" t="s">
        <v>50</v>
      </c>
      <c r="C22" s="27">
        <v>66.188977000000008</v>
      </c>
      <c r="D22" s="28">
        <f t="shared" si="0"/>
        <v>66188.977000000014</v>
      </c>
      <c r="E22" s="1" t="s">
        <v>26</v>
      </c>
      <c r="F22" s="29">
        <v>16.396952399028315</v>
      </c>
      <c r="G22" s="30">
        <v>1.2542438788791319</v>
      </c>
      <c r="H22" s="101">
        <f t="shared" si="1"/>
        <v>0.48307007867173329</v>
      </c>
    </row>
    <row r="23" spans="1:8">
      <c r="A23" s="1" t="s">
        <v>49</v>
      </c>
      <c r="B23" s="1" t="s">
        <v>50</v>
      </c>
      <c r="C23" s="27">
        <v>66.192082999999997</v>
      </c>
      <c r="D23" s="28">
        <f t="shared" si="0"/>
        <v>66192.082999999999</v>
      </c>
      <c r="E23" s="1" t="s">
        <v>26</v>
      </c>
      <c r="F23" s="29">
        <v>16.548977100675003</v>
      </c>
      <c r="G23" s="30">
        <v>1.4062685805258202</v>
      </c>
      <c r="H23" s="101">
        <f t="shared" si="1"/>
        <v>0.61962252831295328</v>
      </c>
    </row>
    <row r="24" spans="1:8">
      <c r="A24" s="1" t="s">
        <v>49</v>
      </c>
      <c r="B24" s="1" t="s">
        <v>50</v>
      </c>
      <c r="C24" s="27">
        <v>66.213825</v>
      </c>
      <c r="D24" s="28">
        <f t="shared" si="0"/>
        <v>66213.824999999997</v>
      </c>
      <c r="E24" s="1" t="s">
        <v>26</v>
      </c>
      <c r="F24" s="29">
        <v>17.112685772800504</v>
      </c>
      <c r="G24" s="30">
        <v>1.9699772526513204</v>
      </c>
      <c r="H24" s="101">
        <f t="shared" si="1"/>
        <v>1.1259599802464642</v>
      </c>
    </row>
    <row r="25" spans="1:8">
      <c r="A25" s="1" t="s">
        <v>49</v>
      </c>
      <c r="B25" s="1" t="s">
        <v>50</v>
      </c>
      <c r="C25" s="27">
        <v>66.234014000000002</v>
      </c>
      <c r="D25" s="28">
        <f t="shared" si="0"/>
        <v>66234.013999999996</v>
      </c>
      <c r="E25" s="1" t="s">
        <v>26</v>
      </c>
      <c r="F25" s="29">
        <v>16.609228908167317</v>
      </c>
      <c r="G25" s="30">
        <v>1.4665203880181341</v>
      </c>
      <c r="H25" s="101">
        <f t="shared" si="1"/>
        <v>0.6737422326719712</v>
      </c>
    </row>
    <row r="26" spans="1:8">
      <c r="A26" s="1" t="s">
        <v>49</v>
      </c>
      <c r="B26" s="1" t="s">
        <v>50</v>
      </c>
      <c r="C26" s="27">
        <v>66.258861999999993</v>
      </c>
      <c r="D26" s="28">
        <f t="shared" si="0"/>
        <v>66258.861999999994</v>
      </c>
      <c r="E26" s="1" t="s">
        <v>26</v>
      </c>
      <c r="F26" s="29">
        <v>17.864151063030093</v>
      </c>
      <c r="G26" s="30">
        <v>2.7214425428809097</v>
      </c>
      <c r="H26" s="101">
        <f t="shared" si="1"/>
        <v>1.8009451970547232</v>
      </c>
    </row>
    <row r="27" spans="1:8">
      <c r="A27" s="1" t="s">
        <v>49</v>
      </c>
      <c r="B27" s="1" t="s">
        <v>50</v>
      </c>
      <c r="C27" s="27">
        <v>66.331852999999995</v>
      </c>
      <c r="D27" s="28">
        <f t="shared" si="0"/>
        <v>66331.852999999988</v>
      </c>
      <c r="E27" s="1" t="s">
        <v>26</v>
      </c>
      <c r="F27" s="29">
        <v>14.140454087555538</v>
      </c>
      <c r="G27" s="30">
        <v>-1.0022544325936451</v>
      </c>
      <c r="H27" s="101">
        <f t="shared" si="1"/>
        <v>-1.5437740374837594</v>
      </c>
    </row>
    <row r="28" spans="1:8">
      <c r="A28" s="1" t="s">
        <v>49</v>
      </c>
      <c r="B28" s="1" t="s">
        <v>50</v>
      </c>
      <c r="C28" s="27">
        <v>66.355148</v>
      </c>
      <c r="D28" s="28">
        <f t="shared" si="0"/>
        <v>66355.148000000001</v>
      </c>
      <c r="E28" s="1" t="s">
        <v>26</v>
      </c>
      <c r="F28" s="29">
        <v>14.494617694682521</v>
      </c>
      <c r="G28" s="30">
        <v>-0.64809082546666197</v>
      </c>
      <c r="H28" s="101">
        <f t="shared" si="1"/>
        <v>-1.2256552870233552</v>
      </c>
    </row>
    <row r="29" spans="1:8">
      <c r="A29" s="1" t="s">
        <v>49</v>
      </c>
      <c r="B29" s="1" t="s">
        <v>50</v>
      </c>
      <c r="C29" s="27">
        <v>66.37844299999999</v>
      </c>
      <c r="D29" s="28">
        <f t="shared" si="0"/>
        <v>66378.442999999985</v>
      </c>
      <c r="E29" s="1" t="s">
        <v>26</v>
      </c>
      <c r="F29" s="29">
        <v>14.550019814935386</v>
      </c>
      <c r="G29" s="30">
        <v>-0.59268870521379746</v>
      </c>
      <c r="H29" s="101">
        <f t="shared" si="1"/>
        <v>-1.1758916949629798</v>
      </c>
    </row>
    <row r="30" spans="1:8">
      <c r="A30" s="1" t="s">
        <v>49</v>
      </c>
      <c r="B30" s="1" t="s">
        <v>50</v>
      </c>
      <c r="C30" s="27">
        <v>66.401737999999995</v>
      </c>
      <c r="D30" s="28">
        <f t="shared" si="0"/>
        <v>66401.737999999998</v>
      </c>
      <c r="E30" s="1" t="s">
        <v>26</v>
      </c>
      <c r="F30" s="29">
        <v>14.643572577675002</v>
      </c>
      <c r="G30" s="30">
        <v>-0.49913594247418125</v>
      </c>
      <c r="H30" s="101">
        <f t="shared" si="1"/>
        <v>-1.0918602264948636</v>
      </c>
    </row>
    <row r="31" spans="1:8">
      <c r="A31" s="1" t="s">
        <v>49</v>
      </c>
      <c r="B31" s="1" t="s">
        <v>50</v>
      </c>
      <c r="C31" s="27">
        <v>66.426586</v>
      </c>
      <c r="D31" s="28">
        <f t="shared" si="0"/>
        <v>66426.585999999996</v>
      </c>
      <c r="E31" s="1" t="s">
        <v>26</v>
      </c>
      <c r="F31" s="29">
        <v>15.384169277992243</v>
      </c>
      <c r="G31" s="30">
        <v>0.24146075784305943</v>
      </c>
      <c r="H31" s="101">
        <f t="shared" si="1"/>
        <v>-0.42663745329347491</v>
      </c>
    </row>
    <row r="32" spans="1:8">
      <c r="A32" s="1" t="s">
        <v>49</v>
      </c>
      <c r="B32" s="1" t="s">
        <v>50</v>
      </c>
      <c r="C32" s="27">
        <v>66.449880999999991</v>
      </c>
      <c r="D32" s="28">
        <f t="shared" si="0"/>
        <v>66449.880999999994</v>
      </c>
      <c r="E32" s="1" t="s">
        <v>26</v>
      </c>
      <c r="F32" s="29">
        <v>14.316876185609967</v>
      </c>
      <c r="G32" s="30">
        <v>-0.82583233453921601</v>
      </c>
      <c r="H32" s="101">
        <f t="shared" si="1"/>
        <v>-1.3853072265035018</v>
      </c>
    </row>
    <row r="33" spans="1:8">
      <c r="A33" s="1" t="s">
        <v>49</v>
      </c>
      <c r="B33" s="1" t="s">
        <v>50</v>
      </c>
      <c r="C33" s="27">
        <v>66.473175999999995</v>
      </c>
      <c r="D33" s="28">
        <f t="shared" si="0"/>
        <v>66473.175999999992</v>
      </c>
      <c r="E33" s="1" t="s">
        <v>26</v>
      </c>
      <c r="F33" s="29">
        <v>14.178822386465512</v>
      </c>
      <c r="G33" s="30">
        <v>-0.96388613368367082</v>
      </c>
      <c r="H33" s="101">
        <f t="shared" si="1"/>
        <v>-1.5093106565464964</v>
      </c>
    </row>
    <row r="34" spans="1:8">
      <c r="A34" s="1" t="s">
        <v>49</v>
      </c>
      <c r="B34" s="1" t="s">
        <v>50</v>
      </c>
      <c r="C34" s="27">
        <v>66.496471</v>
      </c>
      <c r="D34" s="28">
        <f t="shared" si="0"/>
        <v>66496.471000000005</v>
      </c>
      <c r="E34" s="1" t="s">
        <v>26</v>
      </c>
      <c r="F34" s="29">
        <v>14.509337488295312</v>
      </c>
      <c r="G34" s="30">
        <v>-0.633371031853871</v>
      </c>
      <c r="H34" s="101">
        <f t="shared" si="1"/>
        <v>-1.2124335944019078</v>
      </c>
    </row>
    <row r="35" spans="1:8">
      <c r="A35" s="1" t="s">
        <v>49</v>
      </c>
      <c r="B35" s="1" t="s">
        <v>50</v>
      </c>
      <c r="C35" s="27">
        <v>66.521319000000005</v>
      </c>
      <c r="D35" s="28">
        <f t="shared" si="0"/>
        <v>66521.319000000003</v>
      </c>
      <c r="E35" s="1" t="s">
        <v>26</v>
      </c>
      <c r="F35" s="29">
        <v>13.944291172831782</v>
      </c>
      <c r="G35" s="30">
        <v>-1.1984173473174007</v>
      </c>
      <c r="H35" s="101">
        <f t="shared" si="1"/>
        <v>-1.71997255156829</v>
      </c>
    </row>
    <row r="36" spans="1:8">
      <c r="F36" s="47">
        <f>AVERAGE(F2:F35)</f>
        <v>15.859147442279811</v>
      </c>
    </row>
    <row r="37" spans="1:8">
      <c r="F37" s="48">
        <f>STDEV(F2:F35)</f>
        <v>1.1133062940067164</v>
      </c>
    </row>
  </sheetData>
  <phoneticPr fontId="1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8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1.1640625" style="2" customWidth="1"/>
    <col min="2" max="2" width="10.5" style="2" customWidth="1"/>
    <col min="3" max="3" width="11" style="2" customWidth="1"/>
    <col min="4" max="4" width="11" style="45" customWidth="1"/>
    <col min="5" max="5" width="11.1640625" style="2" customWidth="1"/>
    <col min="6" max="6" width="16.83203125" style="2" customWidth="1"/>
    <col min="7" max="7" width="14.1640625" style="2" customWidth="1"/>
    <col min="8" max="8" width="16.83203125" style="101" customWidth="1"/>
    <col min="9" max="9" width="10.83203125" style="2"/>
    <col min="10" max="10" width="10.83203125" style="89"/>
    <col min="11" max="11" width="10.83203125" style="2"/>
    <col min="12" max="12" width="10.83203125" style="89"/>
    <col min="13" max="13" width="10.83203125" style="2"/>
    <col min="14" max="14" width="14" style="89" customWidth="1"/>
    <col min="15" max="15" width="10.83203125" style="2"/>
    <col min="16" max="16" width="15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49</v>
      </c>
      <c r="B2" s="1" t="s">
        <v>50</v>
      </c>
      <c r="C2" s="1">
        <v>66.066289999999995</v>
      </c>
      <c r="D2" s="28">
        <f>C2*1000</f>
        <v>66066.289999999994</v>
      </c>
      <c r="E2" s="32" t="s">
        <v>51</v>
      </c>
      <c r="F2" s="49">
        <v>29.80838919</v>
      </c>
      <c r="G2" s="35">
        <v>1.9835552071999949</v>
      </c>
      <c r="H2" s="101">
        <f>(F2-27.82483398)/1.433896063</f>
        <v>1.3833326286216316</v>
      </c>
      <c r="I2" s="3">
        <v>0.86918865029299996</v>
      </c>
      <c r="J2" s="88">
        <v>66000</v>
      </c>
      <c r="K2" s="3">
        <v>0.58524123999800004</v>
      </c>
      <c r="L2" s="88">
        <v>66150</v>
      </c>
      <c r="M2" s="3">
        <v>0.78625911180700003</v>
      </c>
      <c r="N2" s="88">
        <v>66100</v>
      </c>
      <c r="O2" s="3">
        <v>0.29738933035100001</v>
      </c>
      <c r="P2" s="88">
        <v>66100</v>
      </c>
    </row>
    <row r="3" spans="1:16">
      <c r="A3" s="1" t="s">
        <v>49</v>
      </c>
      <c r="B3" s="1" t="s">
        <v>50</v>
      </c>
      <c r="C3" s="1">
        <v>66.077161000000004</v>
      </c>
      <c r="D3" s="28">
        <f t="shared" ref="D3:D26" si="0">C3*1000</f>
        <v>66077.161000000007</v>
      </c>
      <c r="E3" s="32" t="s">
        <v>51</v>
      </c>
      <c r="F3" s="49">
        <v>27.486715185000001</v>
      </c>
      <c r="G3" s="35">
        <v>-0.33811879780000353</v>
      </c>
      <c r="H3" s="101">
        <f t="shared" ref="H3:H26" si="1">(F3-27.82483398)/1.433896063</f>
        <v>-0.23580425647629369</v>
      </c>
      <c r="I3" s="3">
        <v>0.81102975656499998</v>
      </c>
      <c r="J3" s="88">
        <v>66200</v>
      </c>
      <c r="K3" s="3">
        <v>2.4006463830100002</v>
      </c>
      <c r="L3" s="88">
        <v>66300</v>
      </c>
      <c r="M3" s="3">
        <v>0.69697540286600002</v>
      </c>
      <c r="N3" s="88">
        <v>66200</v>
      </c>
      <c r="O3" s="3">
        <v>0.27417987615400002</v>
      </c>
      <c r="P3" s="88">
        <v>66150</v>
      </c>
    </row>
    <row r="4" spans="1:16">
      <c r="A4" s="1" t="s">
        <v>49</v>
      </c>
      <c r="B4" s="1" t="s">
        <v>50</v>
      </c>
      <c r="C4" s="1">
        <v>66.088031999999998</v>
      </c>
      <c r="D4" s="28">
        <f t="shared" si="0"/>
        <v>66088.031999999992</v>
      </c>
      <c r="E4" s="32" t="s">
        <v>51</v>
      </c>
      <c r="F4" s="49">
        <v>27.795150005</v>
      </c>
      <c r="G4" s="35">
        <v>-2.9683977800004868E-2</v>
      </c>
      <c r="H4" s="101">
        <f t="shared" si="1"/>
        <v>-2.0701622499678406E-2</v>
      </c>
      <c r="I4" s="3">
        <v>0.43119857126299999</v>
      </c>
      <c r="J4" s="88">
        <v>66400</v>
      </c>
      <c r="K4" s="3">
        <v>0.283304819263</v>
      </c>
      <c r="L4" s="88">
        <v>66450</v>
      </c>
      <c r="M4" s="3">
        <v>1.1433453230599999</v>
      </c>
      <c r="N4" s="88">
        <v>66300</v>
      </c>
      <c r="O4" s="3">
        <v>0.217357169756</v>
      </c>
      <c r="P4" s="88">
        <v>66200</v>
      </c>
    </row>
    <row r="5" spans="1:16">
      <c r="A5" s="1" t="s">
        <v>49</v>
      </c>
      <c r="B5" s="1" t="s">
        <v>50</v>
      </c>
      <c r="C5" s="1">
        <v>66.094244000000003</v>
      </c>
      <c r="D5" s="28">
        <f t="shared" si="0"/>
        <v>66094.244000000006</v>
      </c>
      <c r="E5" s="32" t="s">
        <v>51</v>
      </c>
      <c r="F5" s="49">
        <v>28.683026914999999</v>
      </c>
      <c r="G5" s="35">
        <v>0.85819293219999437</v>
      </c>
      <c r="H5" s="101">
        <f t="shared" si="1"/>
        <v>0.59850428294257629</v>
      </c>
      <c r="M5" s="3">
        <v>0.272621708824</v>
      </c>
      <c r="N5" s="88">
        <v>66400</v>
      </c>
      <c r="O5" s="3">
        <v>0.21515404284699999</v>
      </c>
      <c r="P5" s="88">
        <v>66250</v>
      </c>
    </row>
    <row r="6" spans="1:16">
      <c r="A6" s="1" t="s">
        <v>49</v>
      </c>
      <c r="B6" s="1" t="s">
        <v>50</v>
      </c>
      <c r="C6" s="1">
        <v>66.103561999999997</v>
      </c>
      <c r="D6" s="28">
        <f t="shared" si="0"/>
        <v>66103.561999999991</v>
      </c>
      <c r="E6" s="32" t="s">
        <v>51</v>
      </c>
      <c r="F6" s="49">
        <v>28.221575394999999</v>
      </c>
      <c r="G6" s="35">
        <v>0.3967414121999937</v>
      </c>
      <c r="H6" s="101">
        <f t="shared" si="1"/>
        <v>0.276687707873285</v>
      </c>
      <c r="M6" s="3">
        <v>9.8011727360300005E-2</v>
      </c>
      <c r="N6" s="88">
        <v>66500</v>
      </c>
      <c r="O6" s="3">
        <v>1.27574309399E-2</v>
      </c>
      <c r="P6" s="88">
        <v>66350</v>
      </c>
    </row>
    <row r="7" spans="1:16">
      <c r="A7" s="1" t="s">
        <v>49</v>
      </c>
      <c r="B7" s="1" t="s">
        <v>50</v>
      </c>
      <c r="C7" s="1">
        <v>66.114433000000005</v>
      </c>
      <c r="D7" s="28">
        <f t="shared" si="0"/>
        <v>66114.433000000005</v>
      </c>
      <c r="E7" s="32" t="s">
        <v>51</v>
      </c>
      <c r="F7" s="49">
        <v>28.15836131</v>
      </c>
      <c r="G7" s="35">
        <v>0.33352732719999523</v>
      </c>
      <c r="H7" s="101">
        <f t="shared" si="1"/>
        <v>0.23260216594931751</v>
      </c>
      <c r="O7" s="3">
        <v>1.93354077143E-2</v>
      </c>
      <c r="P7" s="88">
        <v>66400</v>
      </c>
    </row>
    <row r="8" spans="1:16">
      <c r="A8" s="1" t="s">
        <v>49</v>
      </c>
      <c r="B8" s="1" t="s">
        <v>50</v>
      </c>
      <c r="C8" s="1">
        <v>66.125304</v>
      </c>
      <c r="D8" s="28">
        <f t="shared" si="0"/>
        <v>66125.304000000004</v>
      </c>
      <c r="E8" s="32" t="s">
        <v>51</v>
      </c>
      <c r="F8" s="49">
        <v>29.285775155</v>
      </c>
      <c r="G8" s="35">
        <v>1.4609411721999948</v>
      </c>
      <c r="H8" s="101">
        <f t="shared" si="1"/>
        <v>1.01886127781355</v>
      </c>
      <c r="O8" s="3">
        <v>8.7228308047099995E-2</v>
      </c>
      <c r="P8" s="88">
        <v>66450</v>
      </c>
    </row>
    <row r="9" spans="1:16">
      <c r="A9" s="1" t="s">
        <v>49</v>
      </c>
      <c r="B9" s="1" t="s">
        <v>50</v>
      </c>
      <c r="C9" s="1">
        <v>66.134621999999993</v>
      </c>
      <c r="D9" s="28">
        <f t="shared" si="0"/>
        <v>66134.621999999988</v>
      </c>
      <c r="E9" s="32" t="s">
        <v>51</v>
      </c>
      <c r="F9" s="49">
        <v>28.892629710000001</v>
      </c>
      <c r="G9" s="35">
        <v>1.0677957271999965</v>
      </c>
      <c r="H9" s="101">
        <f t="shared" si="1"/>
        <v>0.74468140163936014</v>
      </c>
      <c r="O9" s="3">
        <v>9.7163799793399994E-2</v>
      </c>
      <c r="P9" s="88">
        <v>66500</v>
      </c>
    </row>
    <row r="10" spans="1:16">
      <c r="A10" s="1" t="s">
        <v>49</v>
      </c>
      <c r="B10" s="1" t="s">
        <v>50</v>
      </c>
      <c r="C10" s="1">
        <v>66.147045999999989</v>
      </c>
      <c r="D10" s="28">
        <f t="shared" si="0"/>
        <v>66147.045999999988</v>
      </c>
      <c r="E10" s="32" t="s">
        <v>51</v>
      </c>
      <c r="F10" s="49">
        <v>29.365634855</v>
      </c>
      <c r="G10" s="35">
        <v>1.5408008721999948</v>
      </c>
      <c r="H10" s="101">
        <f t="shared" si="1"/>
        <v>1.0745554819198906</v>
      </c>
    </row>
    <row r="11" spans="1:16">
      <c r="A11" s="1" t="s">
        <v>49</v>
      </c>
      <c r="B11" s="1" t="s">
        <v>50</v>
      </c>
      <c r="C11" s="1">
        <v>66.154810999999995</v>
      </c>
      <c r="D11" s="28">
        <f t="shared" si="0"/>
        <v>66154.811000000002</v>
      </c>
      <c r="E11" s="32" t="s">
        <v>51</v>
      </c>
      <c r="F11" s="49">
        <v>29.265285649999999</v>
      </c>
      <c r="G11" s="35">
        <v>1.4404516671999943</v>
      </c>
      <c r="H11" s="101">
        <f t="shared" si="1"/>
        <v>1.0045718843709512</v>
      </c>
    </row>
    <row r="12" spans="1:16">
      <c r="A12" s="1" t="s">
        <v>49</v>
      </c>
      <c r="B12" s="1" t="s">
        <v>50</v>
      </c>
      <c r="C12" s="1">
        <v>66.16568199999999</v>
      </c>
      <c r="D12" s="28">
        <f t="shared" si="0"/>
        <v>66165.681999999986</v>
      </c>
      <c r="E12" s="32" t="s">
        <v>51</v>
      </c>
      <c r="F12" s="49">
        <v>28.09614689</v>
      </c>
      <c r="G12" s="35">
        <v>0.27131290719999512</v>
      </c>
      <c r="H12" s="101">
        <f t="shared" si="1"/>
        <v>0.18921379101380439</v>
      </c>
    </row>
    <row r="13" spans="1:16">
      <c r="A13" s="1" t="s">
        <v>49</v>
      </c>
      <c r="B13" s="1" t="s">
        <v>50</v>
      </c>
      <c r="C13" s="1">
        <v>66.176552999999998</v>
      </c>
      <c r="D13" s="28">
        <f t="shared" si="0"/>
        <v>66176.553</v>
      </c>
      <c r="E13" s="32" t="s">
        <v>51</v>
      </c>
      <c r="F13" s="49">
        <v>27.834879704999999</v>
      </c>
      <c r="G13" s="35">
        <v>1.0045722199993889E-2</v>
      </c>
      <c r="H13" s="101">
        <f t="shared" si="1"/>
        <v>7.0058948198658067E-3</v>
      </c>
    </row>
    <row r="14" spans="1:16">
      <c r="A14" s="1" t="s">
        <v>49</v>
      </c>
      <c r="B14" s="1" t="s">
        <v>50</v>
      </c>
      <c r="C14" s="1">
        <v>66.188977000000008</v>
      </c>
      <c r="D14" s="28">
        <f t="shared" si="0"/>
        <v>66188.977000000014</v>
      </c>
      <c r="E14" s="32" t="s">
        <v>51</v>
      </c>
      <c r="F14" s="49">
        <v>28.053454599999998</v>
      </c>
      <c r="G14" s="35">
        <v>0.2286206171999936</v>
      </c>
      <c r="H14" s="101">
        <f t="shared" si="1"/>
        <v>0.15944016159837757</v>
      </c>
    </row>
    <row r="15" spans="1:16">
      <c r="A15" s="1" t="s">
        <v>49</v>
      </c>
      <c r="B15" s="1" t="s">
        <v>50</v>
      </c>
      <c r="C15" s="1">
        <v>66.213825</v>
      </c>
      <c r="D15" s="28">
        <f t="shared" si="0"/>
        <v>66213.824999999997</v>
      </c>
      <c r="E15" s="32" t="s">
        <v>51</v>
      </c>
      <c r="F15" s="49">
        <v>28.458214885</v>
      </c>
      <c r="G15" s="35">
        <v>0.63338090219999543</v>
      </c>
      <c r="H15" s="101">
        <f t="shared" si="1"/>
        <v>0.44172023436262076</v>
      </c>
    </row>
    <row r="16" spans="1:16">
      <c r="A16" s="1" t="s">
        <v>49</v>
      </c>
      <c r="B16" s="1" t="s">
        <v>50</v>
      </c>
      <c r="C16" s="1">
        <v>66.234014000000002</v>
      </c>
      <c r="D16" s="28">
        <f t="shared" si="0"/>
        <v>66234.013999999996</v>
      </c>
      <c r="E16" s="32" t="s">
        <v>51</v>
      </c>
      <c r="F16" s="49">
        <v>30.511270544999999</v>
      </c>
      <c r="G16" s="35">
        <v>2.6864365621999937</v>
      </c>
      <c r="H16" s="101">
        <f t="shared" si="1"/>
        <v>1.8735225197420726</v>
      </c>
    </row>
    <row r="17" spans="1:8">
      <c r="A17" s="1" t="s">
        <v>49</v>
      </c>
      <c r="B17" s="1" t="s">
        <v>50</v>
      </c>
      <c r="C17" s="1">
        <v>66.258861999999993</v>
      </c>
      <c r="D17" s="28">
        <f t="shared" si="0"/>
        <v>66258.861999999994</v>
      </c>
      <c r="E17" s="32" t="s">
        <v>51</v>
      </c>
      <c r="F17" s="49">
        <v>29.894253474999999</v>
      </c>
      <c r="G17" s="35">
        <v>2.0694194921999944</v>
      </c>
      <c r="H17" s="101">
        <f t="shared" si="1"/>
        <v>1.4432144340157786</v>
      </c>
    </row>
    <row r="18" spans="1:8">
      <c r="A18" s="1" t="s">
        <v>49</v>
      </c>
      <c r="B18" s="1" t="s">
        <v>50</v>
      </c>
      <c r="C18" s="1">
        <v>66.331852999999995</v>
      </c>
      <c r="D18" s="28">
        <f t="shared" si="0"/>
        <v>66331.852999999988</v>
      </c>
      <c r="E18" s="32" t="s">
        <v>51</v>
      </c>
      <c r="F18" s="49">
        <v>26.61537676</v>
      </c>
      <c r="G18" s="35">
        <v>-1.2094572228000047</v>
      </c>
      <c r="H18" s="101">
        <f t="shared" si="1"/>
        <v>-0.84347621226434799</v>
      </c>
    </row>
    <row r="19" spans="1:8">
      <c r="A19" s="1" t="s">
        <v>49</v>
      </c>
      <c r="B19" s="1" t="s">
        <v>50</v>
      </c>
      <c r="C19" s="1">
        <v>66.355148</v>
      </c>
      <c r="D19" s="28">
        <f t="shared" si="0"/>
        <v>66355.148000000001</v>
      </c>
      <c r="E19" s="32" t="s">
        <v>51</v>
      </c>
      <c r="F19" s="49">
        <v>26.5787911</v>
      </c>
      <c r="G19" s="35">
        <v>-1.2460428828000047</v>
      </c>
      <c r="H19" s="101">
        <f t="shared" si="1"/>
        <v>-0.86899107414593757</v>
      </c>
    </row>
    <row r="20" spans="1:8">
      <c r="A20" s="1" t="s">
        <v>49</v>
      </c>
      <c r="B20" s="1" t="s">
        <v>50</v>
      </c>
      <c r="C20" s="1">
        <v>66.37844299999999</v>
      </c>
      <c r="D20" s="28">
        <f t="shared" si="0"/>
        <v>66378.442999999985</v>
      </c>
      <c r="E20" s="32" t="s">
        <v>51</v>
      </c>
      <c r="F20" s="49">
        <v>26.455375045</v>
      </c>
      <c r="G20" s="35">
        <v>-1.3694589378000046</v>
      </c>
      <c r="H20" s="101">
        <f t="shared" si="1"/>
        <v>-0.95506150713240423</v>
      </c>
    </row>
    <row r="21" spans="1:8">
      <c r="A21" s="1" t="s">
        <v>49</v>
      </c>
      <c r="B21" s="1" t="s">
        <v>50</v>
      </c>
      <c r="C21" s="1">
        <v>66.401737999999995</v>
      </c>
      <c r="D21" s="28">
        <f t="shared" si="0"/>
        <v>66401.737999999998</v>
      </c>
      <c r="E21" s="32" t="s">
        <v>51</v>
      </c>
      <c r="F21" s="49">
        <v>26.399925114999998</v>
      </c>
      <c r="G21" s="35">
        <v>-1.4249088678000064</v>
      </c>
      <c r="H21" s="101">
        <f t="shared" si="1"/>
        <v>-0.99373232256374677</v>
      </c>
    </row>
    <row r="22" spans="1:8">
      <c r="A22" s="1" t="s">
        <v>49</v>
      </c>
      <c r="B22" s="1" t="s">
        <v>50</v>
      </c>
      <c r="C22" s="1">
        <v>66.426586</v>
      </c>
      <c r="D22" s="28">
        <f t="shared" si="0"/>
        <v>66426.585999999996</v>
      </c>
      <c r="E22" s="32" t="s">
        <v>51</v>
      </c>
      <c r="F22" s="49">
        <v>25.814311194999998</v>
      </c>
      <c r="G22" s="35">
        <v>-2.0105227878000065</v>
      </c>
      <c r="H22" s="101">
        <f t="shared" si="1"/>
        <v>-1.4021398320834937</v>
      </c>
    </row>
    <row r="23" spans="1:8">
      <c r="A23" s="1" t="s">
        <v>49</v>
      </c>
      <c r="B23" s="1" t="s">
        <v>50</v>
      </c>
      <c r="C23" s="1">
        <v>66.449880999999991</v>
      </c>
      <c r="D23" s="28">
        <f t="shared" si="0"/>
        <v>66449.880999999994</v>
      </c>
      <c r="E23" s="32" t="s">
        <v>51</v>
      </c>
      <c r="F23" s="49">
        <v>26.064463849999999</v>
      </c>
      <c r="G23" s="35">
        <v>-1.7603701328000056</v>
      </c>
      <c r="H23" s="101">
        <f t="shared" si="1"/>
        <v>-1.2276832159765836</v>
      </c>
    </row>
    <row r="24" spans="1:8">
      <c r="A24" s="1" t="s">
        <v>49</v>
      </c>
      <c r="B24" s="1" t="s">
        <v>50</v>
      </c>
      <c r="C24" s="1">
        <v>66.473175999999995</v>
      </c>
      <c r="D24" s="28">
        <f t="shared" si="0"/>
        <v>66473.175999999992</v>
      </c>
      <c r="E24" s="32" t="s">
        <v>51</v>
      </c>
      <c r="F24" s="49">
        <v>25.866111364999998</v>
      </c>
      <c r="G24" s="35">
        <v>-1.9587226178000066</v>
      </c>
      <c r="H24" s="101">
        <f t="shared" si="1"/>
        <v>-1.3660143615304723</v>
      </c>
    </row>
    <row r="25" spans="1:8">
      <c r="A25" s="1" t="s">
        <v>49</v>
      </c>
      <c r="B25" s="1" t="s">
        <v>50</v>
      </c>
      <c r="C25" s="1">
        <v>66.496471</v>
      </c>
      <c r="D25" s="28">
        <f t="shared" si="0"/>
        <v>66496.471000000005</v>
      </c>
      <c r="E25" s="32" t="s">
        <v>51</v>
      </c>
      <c r="F25" s="49">
        <v>25.868543044999999</v>
      </c>
      <c r="G25" s="35">
        <v>-1.9562909378000057</v>
      </c>
      <c r="H25" s="101">
        <f t="shared" si="1"/>
        <v>-1.3643185063965142</v>
      </c>
    </row>
    <row r="26" spans="1:8">
      <c r="A26" s="1" t="s">
        <v>49</v>
      </c>
      <c r="B26" s="1" t="s">
        <v>50</v>
      </c>
      <c r="C26" s="1">
        <v>66.521319000000005</v>
      </c>
      <c r="D26" s="28">
        <f t="shared" si="0"/>
        <v>66521.319000000003</v>
      </c>
      <c r="E26" s="32" t="s">
        <v>51</v>
      </c>
      <c r="F26" s="49">
        <v>26.147188624999998</v>
      </c>
      <c r="G26" s="35">
        <v>-1.6776453578000066</v>
      </c>
      <c r="H26" s="101">
        <f t="shared" si="1"/>
        <v>-1.1699909067955945</v>
      </c>
    </row>
    <row r="27" spans="1:8">
      <c r="F27" s="47">
        <f>AVERAGE(F2:F26)</f>
        <v>27.824833982800005</v>
      </c>
    </row>
    <row r="28" spans="1:8">
      <c r="F28" s="5">
        <f>STDEV(F2:F26)</f>
        <v>1.4338960631047253</v>
      </c>
    </row>
  </sheetData>
  <phoneticPr fontId="1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2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1.1640625" style="2" customWidth="1"/>
    <col min="2" max="2" width="10.5" style="2" customWidth="1"/>
    <col min="3" max="3" width="9.6640625" style="2" customWidth="1"/>
    <col min="4" max="4" width="11.33203125" style="45" customWidth="1"/>
    <col min="5" max="5" width="12.6640625" style="5" customWidth="1"/>
    <col min="6" max="6" width="16.83203125" style="2" customWidth="1"/>
    <col min="7" max="7" width="14.16406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" style="89" customWidth="1"/>
    <col min="13" max="13" width="13" style="2" customWidth="1"/>
    <col min="14" max="14" width="15" style="89" customWidth="1"/>
    <col min="15" max="15" width="13" style="2" customWidth="1"/>
    <col min="16" max="16" width="13.6640625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3" t="s">
        <v>49</v>
      </c>
      <c r="B2" s="3" t="s">
        <v>50</v>
      </c>
      <c r="C2" s="27">
        <v>66.063184000000007</v>
      </c>
      <c r="D2" s="28">
        <f>C2*1000</f>
        <v>66063.184000000008</v>
      </c>
      <c r="E2" s="5" t="s">
        <v>52</v>
      </c>
      <c r="F2" s="49">
        <v>11.898573119739901</v>
      </c>
      <c r="G2" s="35">
        <v>0</v>
      </c>
      <c r="H2" s="101">
        <f>(F2-16.23811797)/4.234314467</f>
        <v>-1.0248518110972178</v>
      </c>
      <c r="I2" s="3">
        <v>0.879948309155</v>
      </c>
      <c r="J2" s="88">
        <v>66000</v>
      </c>
      <c r="K2" s="3">
        <v>0.88912964302800002</v>
      </c>
      <c r="L2" s="88">
        <v>66000</v>
      </c>
      <c r="M2" s="3">
        <v>1.5821056124999999</v>
      </c>
      <c r="N2" s="88">
        <v>66100</v>
      </c>
      <c r="O2" s="3">
        <v>0.88912964302800002</v>
      </c>
      <c r="P2" s="88">
        <v>66050</v>
      </c>
    </row>
    <row r="3" spans="1:16">
      <c r="A3" s="3" t="s">
        <v>49</v>
      </c>
      <c r="B3" s="3" t="s">
        <v>50</v>
      </c>
      <c r="C3" s="27">
        <v>66.063184000000007</v>
      </c>
      <c r="D3" s="28">
        <f t="shared" ref="D3:D40" si="0">C3*1000</f>
        <v>66063.184000000008</v>
      </c>
      <c r="E3" s="5" t="s">
        <v>52</v>
      </c>
      <c r="F3" s="49">
        <v>19.428282141149101</v>
      </c>
      <c r="G3" s="35">
        <v>0</v>
      </c>
      <c r="H3" s="101">
        <f t="shared" ref="H3:H40" si="1">(F3-16.23811797)/4.234314467</f>
        <v>0.75340747504975036</v>
      </c>
      <c r="I3" s="3">
        <v>2.01294235197</v>
      </c>
      <c r="J3" s="88">
        <v>66200</v>
      </c>
      <c r="K3" s="3">
        <v>1.9733151903499999</v>
      </c>
      <c r="L3" s="88">
        <v>66150</v>
      </c>
      <c r="M3" s="3">
        <v>1.8904421440300001</v>
      </c>
      <c r="N3" s="88">
        <v>66200</v>
      </c>
      <c r="O3" s="3">
        <v>0.69492815914999995</v>
      </c>
      <c r="P3" s="88">
        <v>66100</v>
      </c>
    </row>
    <row r="4" spans="1:16">
      <c r="A4" s="3" t="s">
        <v>49</v>
      </c>
      <c r="B4" s="3" t="s">
        <v>50</v>
      </c>
      <c r="C4" s="27">
        <v>66.066289999999995</v>
      </c>
      <c r="D4" s="28">
        <f t="shared" si="0"/>
        <v>66066.289999999994</v>
      </c>
      <c r="E4" s="5" t="s">
        <v>52</v>
      </c>
      <c r="F4" s="49">
        <v>13.4413130549608</v>
      </c>
      <c r="G4" s="35">
        <v>1.542739935220899</v>
      </c>
      <c r="H4" s="101">
        <f t="shared" si="1"/>
        <v>-0.66050949612647214</v>
      </c>
      <c r="I4" s="3">
        <v>0.59404504642099998</v>
      </c>
      <c r="J4" s="88">
        <v>66400</v>
      </c>
      <c r="K4" s="3">
        <v>1.3190532646499999</v>
      </c>
      <c r="L4" s="88">
        <v>66300</v>
      </c>
      <c r="M4" s="3">
        <v>1.1043373297300001</v>
      </c>
      <c r="N4" s="88">
        <v>66300</v>
      </c>
      <c r="O4" s="3">
        <v>2.03808937837</v>
      </c>
      <c r="P4" s="88">
        <v>66150</v>
      </c>
    </row>
    <row r="5" spans="1:16">
      <c r="A5" s="3" t="s">
        <v>49</v>
      </c>
      <c r="B5" s="3" t="s">
        <v>50</v>
      </c>
      <c r="C5" s="27">
        <v>66.077161000000004</v>
      </c>
      <c r="D5" s="28">
        <f t="shared" si="0"/>
        <v>66077.161000000007</v>
      </c>
      <c r="E5" s="5" t="s">
        <v>52</v>
      </c>
      <c r="F5" s="49">
        <v>13.5565144799424</v>
      </c>
      <c r="G5" s="35">
        <v>1.6579413602024999</v>
      </c>
      <c r="H5" s="101">
        <f t="shared" si="1"/>
        <v>-0.63330286660487678</v>
      </c>
      <c r="K5" s="3">
        <v>0.420061944204</v>
      </c>
      <c r="L5" s="88">
        <v>66450</v>
      </c>
      <c r="M5" s="3">
        <v>0.54318872815800001</v>
      </c>
      <c r="N5" s="88">
        <v>66400</v>
      </c>
      <c r="O5" s="3">
        <v>1.9554980801699999</v>
      </c>
      <c r="P5" s="88">
        <v>66200</v>
      </c>
    </row>
    <row r="6" spans="1:16">
      <c r="A6" s="3" t="s">
        <v>49</v>
      </c>
      <c r="B6" s="3" t="s">
        <v>50</v>
      </c>
      <c r="C6" s="27">
        <v>66.077161000000004</v>
      </c>
      <c r="D6" s="28">
        <f t="shared" si="0"/>
        <v>66077.161000000007</v>
      </c>
      <c r="E6" s="5" t="s">
        <v>52</v>
      </c>
      <c r="F6" s="49">
        <v>19.720798557563899</v>
      </c>
      <c r="G6" s="35">
        <v>0.29251641641479864</v>
      </c>
      <c r="H6" s="101">
        <f t="shared" si="1"/>
        <v>0.82248983033878631</v>
      </c>
      <c r="M6" s="3">
        <v>0.21418585909599999</v>
      </c>
      <c r="N6" s="88">
        <v>66500</v>
      </c>
      <c r="O6" s="3">
        <v>0.67664526732300001</v>
      </c>
      <c r="P6" s="88">
        <v>66250</v>
      </c>
    </row>
    <row r="7" spans="1:16">
      <c r="A7" s="3" t="s">
        <v>49</v>
      </c>
      <c r="B7" s="3" t="s">
        <v>50</v>
      </c>
      <c r="C7" s="27">
        <v>66.088031999999998</v>
      </c>
      <c r="D7" s="28">
        <f t="shared" si="0"/>
        <v>66088.031999999992</v>
      </c>
      <c r="E7" s="5" t="s">
        <v>52</v>
      </c>
      <c r="F7" s="49">
        <v>14.5629440112303</v>
      </c>
      <c r="G7" s="35">
        <v>2.6643708914903996</v>
      </c>
      <c r="H7" s="101">
        <f t="shared" si="1"/>
        <v>-0.39561869384645804</v>
      </c>
      <c r="O7" s="3">
        <v>1.1472324973400001</v>
      </c>
      <c r="P7" s="88">
        <v>66350</v>
      </c>
    </row>
    <row r="8" spans="1:16">
      <c r="A8" s="3" t="s">
        <v>49</v>
      </c>
      <c r="B8" s="3" t="s">
        <v>50</v>
      </c>
      <c r="C8" s="27">
        <v>66.094244000000003</v>
      </c>
      <c r="D8" s="28">
        <f t="shared" si="0"/>
        <v>66094.244000000006</v>
      </c>
      <c r="E8" s="5" t="s">
        <v>52</v>
      </c>
      <c r="F8" s="49">
        <v>15.0215011054658</v>
      </c>
      <c r="G8" s="35">
        <v>3.1229279857258998</v>
      </c>
      <c r="H8" s="101">
        <f t="shared" si="1"/>
        <v>-0.28732321938199606</v>
      </c>
      <c r="O8" s="3">
        <v>0.13222907446000001</v>
      </c>
      <c r="P8" s="88">
        <v>66400</v>
      </c>
    </row>
    <row r="9" spans="1:16">
      <c r="A9" s="3" t="s">
        <v>49</v>
      </c>
      <c r="B9" s="3" t="s">
        <v>50</v>
      </c>
      <c r="C9" s="27">
        <v>66.103561999999997</v>
      </c>
      <c r="D9" s="28">
        <f t="shared" si="0"/>
        <v>66103.561999999991</v>
      </c>
      <c r="E9" s="5" t="s">
        <v>52</v>
      </c>
      <c r="F9" s="49">
        <v>15.748735275059801</v>
      </c>
      <c r="G9" s="35">
        <v>3.8501621553199001</v>
      </c>
      <c r="H9" s="101">
        <f t="shared" si="1"/>
        <v>-0.11557542519673245</v>
      </c>
      <c r="O9" s="3">
        <v>0.15657831285900001</v>
      </c>
      <c r="P9" s="88">
        <v>66450</v>
      </c>
    </row>
    <row r="10" spans="1:16">
      <c r="A10" s="3" t="s">
        <v>49</v>
      </c>
      <c r="B10" s="3" t="s">
        <v>50</v>
      </c>
      <c r="C10" s="27">
        <v>66.103561999999997</v>
      </c>
      <c r="D10" s="28">
        <f t="shared" si="0"/>
        <v>66103.561999999991</v>
      </c>
      <c r="E10" s="5" t="s">
        <v>52</v>
      </c>
      <c r="F10" s="49">
        <v>23.024960865567301</v>
      </c>
      <c r="G10" s="35">
        <v>3.5966787244182008</v>
      </c>
      <c r="H10" s="101">
        <f t="shared" si="1"/>
        <v>1.6028197594818128</v>
      </c>
      <c r="O10" s="3">
        <v>0.21418585909599999</v>
      </c>
      <c r="P10" s="88">
        <v>66500</v>
      </c>
    </row>
    <row r="11" spans="1:16">
      <c r="A11" s="3" t="s">
        <v>49</v>
      </c>
      <c r="B11" s="3" t="s">
        <v>50</v>
      </c>
      <c r="C11" s="27">
        <v>66.114433000000005</v>
      </c>
      <c r="D11" s="28">
        <f t="shared" si="0"/>
        <v>66114.433000000005</v>
      </c>
      <c r="E11" s="5" t="s">
        <v>52</v>
      </c>
      <c r="F11" s="49">
        <v>15.1516530907566</v>
      </c>
      <c r="G11" s="35">
        <v>3.2530799710166995</v>
      </c>
      <c r="H11" s="101">
        <f t="shared" si="1"/>
        <v>-0.25658577975507768</v>
      </c>
    </row>
    <row r="12" spans="1:16">
      <c r="A12" s="3" t="s">
        <v>49</v>
      </c>
      <c r="B12" s="3" t="s">
        <v>50</v>
      </c>
      <c r="C12" s="27">
        <v>66.125304</v>
      </c>
      <c r="D12" s="28">
        <f t="shared" si="0"/>
        <v>66125.304000000004</v>
      </c>
      <c r="E12" s="5" t="s">
        <v>52</v>
      </c>
      <c r="F12" s="49">
        <v>13.243567800180299</v>
      </c>
      <c r="G12" s="35">
        <v>1.3449946804403989</v>
      </c>
      <c r="H12" s="101">
        <f t="shared" si="1"/>
        <v>-0.70721015010992605</v>
      </c>
    </row>
    <row r="13" spans="1:16">
      <c r="A13" s="3" t="s">
        <v>49</v>
      </c>
      <c r="B13" s="3" t="s">
        <v>50</v>
      </c>
      <c r="C13" s="27">
        <v>66.125304</v>
      </c>
      <c r="D13" s="28">
        <f t="shared" si="0"/>
        <v>66125.304000000004</v>
      </c>
      <c r="E13" s="5" t="s">
        <v>52</v>
      </c>
      <c r="F13" s="49">
        <v>21.744991556758102</v>
      </c>
      <c r="G13" s="35">
        <v>2.3167094156090009</v>
      </c>
      <c r="H13" s="101">
        <f t="shared" si="1"/>
        <v>1.3005348633588154</v>
      </c>
    </row>
    <row r="14" spans="1:16">
      <c r="A14" s="3" t="s">
        <v>49</v>
      </c>
      <c r="B14" s="3" t="s">
        <v>50</v>
      </c>
      <c r="C14" s="27">
        <v>66.134621999999993</v>
      </c>
      <c r="D14" s="28">
        <f t="shared" si="0"/>
        <v>66134.621999999988</v>
      </c>
      <c r="E14" s="5" t="s">
        <v>52</v>
      </c>
      <c r="F14" s="49">
        <v>13.623284329417499</v>
      </c>
      <c r="G14" s="35">
        <v>1.7247112096775989</v>
      </c>
      <c r="H14" s="101">
        <f t="shared" si="1"/>
        <v>-0.61753411584357454</v>
      </c>
    </row>
    <row r="15" spans="1:16">
      <c r="A15" s="3" t="s">
        <v>49</v>
      </c>
      <c r="B15" s="3" t="s">
        <v>50</v>
      </c>
      <c r="C15" s="27">
        <v>66.134621999999993</v>
      </c>
      <c r="D15" s="28">
        <f t="shared" si="0"/>
        <v>66134.621999999988</v>
      </c>
      <c r="E15" s="5" t="s">
        <v>52</v>
      </c>
      <c r="F15" s="49">
        <v>22.253195669716401</v>
      </c>
      <c r="G15" s="35">
        <v>2.8249135285673006</v>
      </c>
      <c r="H15" s="101">
        <f t="shared" si="1"/>
        <v>1.4205552626274509</v>
      </c>
    </row>
    <row r="16" spans="1:16">
      <c r="A16" s="3" t="s">
        <v>49</v>
      </c>
      <c r="B16" s="3" t="s">
        <v>50</v>
      </c>
      <c r="C16" s="27">
        <v>66.147045999999989</v>
      </c>
      <c r="D16" s="28">
        <f t="shared" si="0"/>
        <v>66147.045999999988</v>
      </c>
      <c r="E16" s="5" t="s">
        <v>52</v>
      </c>
      <c r="F16" s="49">
        <v>12.5752880728823</v>
      </c>
      <c r="G16" s="35">
        <v>0.67671495314239927</v>
      </c>
      <c r="H16" s="101">
        <f t="shared" si="1"/>
        <v>-0.86503492493622147</v>
      </c>
    </row>
    <row r="17" spans="1:8">
      <c r="A17" s="3" t="s">
        <v>49</v>
      </c>
      <c r="B17" s="3" t="s">
        <v>50</v>
      </c>
      <c r="C17" s="27">
        <v>66.147045999999989</v>
      </c>
      <c r="D17" s="28">
        <f t="shared" si="0"/>
        <v>66147.045999999988</v>
      </c>
      <c r="E17" s="5" t="s">
        <v>52</v>
      </c>
      <c r="F17" s="49">
        <v>22.6236689393569</v>
      </c>
      <c r="G17" s="35">
        <v>3.1953867982077995</v>
      </c>
      <c r="H17" s="101">
        <f t="shared" si="1"/>
        <v>1.5080483556718556</v>
      </c>
    </row>
    <row r="18" spans="1:8">
      <c r="A18" s="3" t="s">
        <v>49</v>
      </c>
      <c r="B18" s="3" t="s">
        <v>50</v>
      </c>
      <c r="C18" s="27">
        <v>66.154810999999995</v>
      </c>
      <c r="D18" s="28">
        <f t="shared" si="0"/>
        <v>66154.811000000002</v>
      </c>
      <c r="E18" s="5" t="s">
        <v>52</v>
      </c>
      <c r="F18" s="49">
        <v>14.6713275329863</v>
      </c>
      <c r="G18" s="35">
        <v>2.7727544132463997</v>
      </c>
      <c r="H18" s="101">
        <f t="shared" si="1"/>
        <v>-0.37002221947010178</v>
      </c>
    </row>
    <row r="19" spans="1:8">
      <c r="A19" s="3" t="s">
        <v>49</v>
      </c>
      <c r="B19" s="3" t="s">
        <v>50</v>
      </c>
      <c r="C19" s="27">
        <v>66.154810999999995</v>
      </c>
      <c r="D19" s="28">
        <f t="shared" si="0"/>
        <v>66154.811000000002</v>
      </c>
      <c r="E19" s="5" t="s">
        <v>52</v>
      </c>
      <c r="F19" s="49">
        <v>22.3252999171117</v>
      </c>
      <c r="G19" s="35">
        <v>2.897017775962599</v>
      </c>
      <c r="H19" s="101">
        <f t="shared" si="1"/>
        <v>1.4375838154090739</v>
      </c>
    </row>
    <row r="20" spans="1:8">
      <c r="A20" s="3" t="s">
        <v>49</v>
      </c>
      <c r="B20" s="3" t="s">
        <v>50</v>
      </c>
      <c r="C20" s="27">
        <v>66.16568199999999</v>
      </c>
      <c r="D20" s="28">
        <f t="shared" si="0"/>
        <v>66165.681999999986</v>
      </c>
      <c r="E20" s="5" t="s">
        <v>52</v>
      </c>
      <c r="F20" s="49">
        <v>13.9724716983328</v>
      </c>
      <c r="G20" s="35">
        <v>2.0738985785928996</v>
      </c>
      <c r="H20" s="101">
        <f t="shared" si="1"/>
        <v>-0.53506802324778802</v>
      </c>
    </row>
    <row r="21" spans="1:8">
      <c r="A21" s="3" t="s">
        <v>49</v>
      </c>
      <c r="B21" s="3" t="s">
        <v>50</v>
      </c>
      <c r="C21" s="27">
        <v>66.176552999999998</v>
      </c>
      <c r="D21" s="28">
        <f t="shared" si="0"/>
        <v>66176.553</v>
      </c>
      <c r="E21" s="5" t="s">
        <v>52</v>
      </c>
      <c r="F21" s="49">
        <v>15.2253874066609</v>
      </c>
      <c r="G21" s="35">
        <v>3.3268142869209996</v>
      </c>
      <c r="H21" s="101">
        <f t="shared" si="1"/>
        <v>-0.23917226064142985</v>
      </c>
    </row>
    <row r="22" spans="1:8">
      <c r="A22" s="3" t="s">
        <v>49</v>
      </c>
      <c r="B22" s="3" t="s">
        <v>50</v>
      </c>
      <c r="C22" s="27">
        <v>66.176552999999998</v>
      </c>
      <c r="D22" s="28">
        <f t="shared" si="0"/>
        <v>66176.553</v>
      </c>
      <c r="E22" s="5" t="s">
        <v>52</v>
      </c>
      <c r="F22" s="49">
        <v>21.3923578477714</v>
      </c>
      <c r="G22" s="35">
        <v>1.9640757066222996</v>
      </c>
      <c r="H22" s="101">
        <f t="shared" si="1"/>
        <v>1.2172548633175004</v>
      </c>
    </row>
    <row r="23" spans="1:8">
      <c r="A23" s="3" t="s">
        <v>49</v>
      </c>
      <c r="B23" s="3" t="s">
        <v>50</v>
      </c>
      <c r="C23" s="27">
        <v>66.188977000000008</v>
      </c>
      <c r="D23" s="28">
        <f t="shared" si="0"/>
        <v>66188.977000000014</v>
      </c>
      <c r="E23" s="5" t="s">
        <v>52</v>
      </c>
      <c r="F23" s="49">
        <v>12.997288416238399</v>
      </c>
      <c r="G23" s="35">
        <v>1.098715296498499</v>
      </c>
      <c r="H23" s="101">
        <f t="shared" si="1"/>
        <v>-0.76537290251324208</v>
      </c>
    </row>
    <row r="24" spans="1:8">
      <c r="A24" s="3" t="s">
        <v>49</v>
      </c>
      <c r="B24" s="3" t="s">
        <v>50</v>
      </c>
      <c r="C24" s="27">
        <v>66.188977000000008</v>
      </c>
      <c r="D24" s="28">
        <f t="shared" si="0"/>
        <v>66188.977000000014</v>
      </c>
      <c r="E24" s="5" t="s">
        <v>52</v>
      </c>
      <c r="F24" s="49">
        <v>22.231046145744301</v>
      </c>
      <c r="G24" s="35">
        <v>2.8027640045952005</v>
      </c>
      <c r="H24" s="101">
        <f t="shared" si="1"/>
        <v>1.4153243039575834</v>
      </c>
    </row>
    <row r="25" spans="1:8">
      <c r="A25" s="3" t="s">
        <v>49</v>
      </c>
      <c r="B25" s="3" t="s">
        <v>50</v>
      </c>
      <c r="C25" s="27">
        <v>66.192082999999997</v>
      </c>
      <c r="D25" s="28">
        <f t="shared" si="0"/>
        <v>66192.082999999999</v>
      </c>
      <c r="E25" s="5" t="s">
        <v>52</v>
      </c>
      <c r="F25" s="49">
        <v>13.641479255359</v>
      </c>
      <c r="G25" s="35">
        <v>1.7429061356190996</v>
      </c>
      <c r="H25" s="101">
        <f t="shared" si="1"/>
        <v>-0.61323709773514112</v>
      </c>
    </row>
    <row r="26" spans="1:8">
      <c r="A26" s="3" t="s">
        <v>49</v>
      </c>
      <c r="B26" s="3" t="s">
        <v>50</v>
      </c>
      <c r="C26" s="27">
        <v>66.213825</v>
      </c>
      <c r="D26" s="28">
        <f t="shared" si="0"/>
        <v>66213.824999999997</v>
      </c>
      <c r="E26" s="5" t="s">
        <v>52</v>
      </c>
      <c r="F26" s="49">
        <v>13.4215371151643</v>
      </c>
      <c r="G26" s="35">
        <v>1.5229639954243996</v>
      </c>
      <c r="H26" s="101">
        <f t="shared" si="1"/>
        <v>-0.66517989553837764</v>
      </c>
    </row>
    <row r="27" spans="1:8">
      <c r="A27" s="3" t="s">
        <v>49</v>
      </c>
      <c r="B27" s="3" t="s">
        <v>50</v>
      </c>
      <c r="C27" s="27">
        <v>66.213825</v>
      </c>
      <c r="D27" s="28">
        <f t="shared" si="0"/>
        <v>66213.824999999997</v>
      </c>
      <c r="E27" s="5" t="s">
        <v>52</v>
      </c>
      <c r="F27" s="49">
        <v>24.588963913715801</v>
      </c>
      <c r="G27" s="35">
        <v>5.1606817725667007</v>
      </c>
      <c r="H27" s="101">
        <f t="shared" si="1"/>
        <v>1.972183693204145</v>
      </c>
    </row>
    <row r="28" spans="1:8">
      <c r="A28" s="3" t="s">
        <v>49</v>
      </c>
      <c r="B28" s="3" t="s">
        <v>50</v>
      </c>
      <c r="C28" s="27">
        <v>66.234014000000002</v>
      </c>
      <c r="D28" s="28">
        <f t="shared" si="0"/>
        <v>66234.013999999996</v>
      </c>
      <c r="E28" s="5" t="s">
        <v>52</v>
      </c>
      <c r="F28" s="49">
        <v>17.586820413251001</v>
      </c>
      <c r="G28" s="35">
        <v>5.6882472935111004</v>
      </c>
      <c r="H28" s="101">
        <f t="shared" si="1"/>
        <v>0.31851730752689034</v>
      </c>
    </row>
    <row r="29" spans="1:8">
      <c r="A29" s="3" t="s">
        <v>49</v>
      </c>
      <c r="B29" s="3" t="s">
        <v>50</v>
      </c>
      <c r="C29" s="27">
        <v>66.258861999999993</v>
      </c>
      <c r="D29" s="28">
        <f t="shared" si="0"/>
        <v>66258.861999999994</v>
      </c>
      <c r="E29" s="5" t="s">
        <v>52</v>
      </c>
      <c r="F29" s="49">
        <v>18.3798273317257</v>
      </c>
      <c r="G29" s="35">
        <v>6.4812542119857994</v>
      </c>
      <c r="H29" s="101">
        <f t="shared" si="1"/>
        <v>0.5057983714759603</v>
      </c>
    </row>
    <row r="30" spans="1:8">
      <c r="A30" s="3" t="s">
        <v>49</v>
      </c>
      <c r="B30" s="3" t="s">
        <v>50</v>
      </c>
      <c r="C30" s="27">
        <v>66.258861999999993</v>
      </c>
      <c r="D30" s="28">
        <f t="shared" si="0"/>
        <v>66258.861999999994</v>
      </c>
      <c r="E30" s="5" t="s">
        <v>52</v>
      </c>
      <c r="F30" s="49">
        <v>23.3170781024516</v>
      </c>
      <c r="G30" s="35">
        <v>3.8887959613024989</v>
      </c>
      <c r="H30" s="101">
        <f t="shared" si="1"/>
        <v>1.67180784224253</v>
      </c>
    </row>
    <row r="31" spans="1:8">
      <c r="A31" s="3" t="s">
        <v>49</v>
      </c>
      <c r="B31" s="3" t="s">
        <v>50</v>
      </c>
      <c r="C31" s="27">
        <v>66.331852999999995</v>
      </c>
      <c r="D31" s="28">
        <f t="shared" si="0"/>
        <v>66331.852999999988</v>
      </c>
      <c r="E31" s="5" t="s">
        <v>52</v>
      </c>
      <c r="F31" s="49">
        <v>13.9648550385477</v>
      </c>
      <c r="G31" s="35">
        <v>2.0662819188077997</v>
      </c>
      <c r="H31" s="101">
        <f t="shared" si="1"/>
        <v>-0.5368668173251907</v>
      </c>
    </row>
    <row r="32" spans="1:8">
      <c r="A32" s="3" t="s">
        <v>49</v>
      </c>
      <c r="B32" s="3" t="s">
        <v>50</v>
      </c>
      <c r="C32" s="27">
        <v>66.355148</v>
      </c>
      <c r="D32" s="28">
        <f t="shared" si="0"/>
        <v>66355.148000000001</v>
      </c>
      <c r="E32" s="5" t="s">
        <v>52</v>
      </c>
      <c r="F32" s="49">
        <v>11.432081506327</v>
      </c>
      <c r="G32" s="35">
        <v>-0.46649161341290046</v>
      </c>
      <c r="H32" s="101">
        <f t="shared" si="1"/>
        <v>-1.1350211471369684</v>
      </c>
    </row>
    <row r="33" spans="1:8">
      <c r="A33" s="3" t="s">
        <v>49</v>
      </c>
      <c r="B33" s="3" t="s">
        <v>50</v>
      </c>
      <c r="C33" s="27">
        <v>66.355148</v>
      </c>
      <c r="D33" s="28">
        <f t="shared" si="0"/>
        <v>66355.148000000001</v>
      </c>
      <c r="E33" s="5" t="s">
        <v>52</v>
      </c>
      <c r="F33" s="49">
        <v>21.147567827784801</v>
      </c>
      <c r="G33" s="35">
        <v>1.7192856866357005</v>
      </c>
      <c r="H33" s="101">
        <f t="shared" si="1"/>
        <v>1.1594438476514786</v>
      </c>
    </row>
    <row r="34" spans="1:8">
      <c r="A34" s="3" t="s">
        <v>49</v>
      </c>
      <c r="B34" s="3" t="s">
        <v>50</v>
      </c>
      <c r="C34" s="27">
        <v>66.37844299999999</v>
      </c>
      <c r="D34" s="28">
        <f t="shared" si="0"/>
        <v>66378.442999999985</v>
      </c>
      <c r="E34" s="5" t="s">
        <v>52</v>
      </c>
      <c r="F34" s="49">
        <v>11.277202488294201</v>
      </c>
      <c r="G34" s="35">
        <v>-0.62137063144569993</v>
      </c>
      <c r="H34" s="101">
        <f t="shared" si="1"/>
        <v>-1.1715982646939767</v>
      </c>
    </row>
    <row r="35" spans="1:8">
      <c r="A35" s="3" t="s">
        <v>49</v>
      </c>
      <c r="B35" s="3" t="s">
        <v>50</v>
      </c>
      <c r="C35" s="27">
        <v>66.401737999999995</v>
      </c>
      <c r="D35" s="28">
        <f t="shared" si="0"/>
        <v>66401.737999999998</v>
      </c>
      <c r="E35" s="5" t="s">
        <v>52</v>
      </c>
      <c r="F35" s="49">
        <v>10.1574035223467</v>
      </c>
      <c r="G35" s="35">
        <v>-1.7411695973932009</v>
      </c>
      <c r="H35" s="101">
        <f t="shared" si="1"/>
        <v>-1.4360564136280296</v>
      </c>
    </row>
    <row r="36" spans="1:8">
      <c r="A36" s="3" t="s">
        <v>49</v>
      </c>
      <c r="B36" s="3" t="s">
        <v>50</v>
      </c>
      <c r="C36" s="27">
        <v>66.426586</v>
      </c>
      <c r="D36" s="28">
        <f t="shared" si="0"/>
        <v>66426.585999999996</v>
      </c>
      <c r="E36" s="5" t="s">
        <v>52</v>
      </c>
      <c r="F36" s="49">
        <v>13.947455040566901</v>
      </c>
      <c r="G36" s="35">
        <v>2.0488819208270002</v>
      </c>
      <c r="H36" s="101">
        <f t="shared" si="1"/>
        <v>-0.54097610068532032</v>
      </c>
    </row>
    <row r="37" spans="1:8">
      <c r="A37" s="3" t="s">
        <v>49</v>
      </c>
      <c r="B37" s="3" t="s">
        <v>50</v>
      </c>
      <c r="C37" s="27">
        <v>66.449880999999991</v>
      </c>
      <c r="D37" s="28">
        <f t="shared" si="0"/>
        <v>66449.880999999994</v>
      </c>
      <c r="E37" s="5" t="s">
        <v>52</v>
      </c>
      <c r="F37" s="49">
        <v>12.6214514097821</v>
      </c>
      <c r="G37" s="35">
        <v>0.72287829004219972</v>
      </c>
      <c r="H37" s="101">
        <f t="shared" si="1"/>
        <v>-0.8541327264198918</v>
      </c>
    </row>
    <row r="38" spans="1:8">
      <c r="A38" s="3" t="s">
        <v>49</v>
      </c>
      <c r="B38" s="3" t="s">
        <v>50</v>
      </c>
      <c r="C38" s="27">
        <v>66.473175999999995</v>
      </c>
      <c r="D38" s="28">
        <f t="shared" si="0"/>
        <v>66473.175999999992</v>
      </c>
      <c r="E38" s="5" t="s">
        <v>52</v>
      </c>
      <c r="F38" s="49">
        <v>13.0206906595446</v>
      </c>
      <c r="G38" s="35">
        <v>1.1221175398046999</v>
      </c>
      <c r="H38" s="101">
        <f t="shared" si="1"/>
        <v>-0.75984609445763229</v>
      </c>
    </row>
    <row r="39" spans="1:8">
      <c r="A39" s="3" t="s">
        <v>49</v>
      </c>
      <c r="B39" s="3" t="s">
        <v>50</v>
      </c>
      <c r="C39" s="27">
        <v>66.496471</v>
      </c>
      <c r="D39" s="28">
        <f t="shared" si="0"/>
        <v>66496.471000000005</v>
      </c>
      <c r="E39" s="5" t="s">
        <v>52</v>
      </c>
      <c r="F39" s="49">
        <v>13.080798410843499</v>
      </c>
      <c r="G39" s="35">
        <v>1.1822252911035989</v>
      </c>
      <c r="H39" s="101">
        <f t="shared" si="1"/>
        <v>-0.7456507030271311</v>
      </c>
    </row>
    <row r="40" spans="1:8">
      <c r="A40" s="3" t="s">
        <v>49</v>
      </c>
      <c r="B40" s="3" t="s">
        <v>50</v>
      </c>
      <c r="C40" s="27">
        <v>66.521319000000005</v>
      </c>
      <c r="D40" s="28">
        <f t="shared" si="0"/>
        <v>66521.319000000003</v>
      </c>
      <c r="E40" s="5" t="s">
        <v>52</v>
      </c>
      <c r="F40" s="49">
        <v>11.2669378471549</v>
      </c>
      <c r="G40" s="35">
        <v>-0.63163527258500096</v>
      </c>
      <c r="H40" s="101">
        <f t="shared" si="1"/>
        <v>-1.1740224212414645</v>
      </c>
    </row>
    <row r="41" spans="1:8">
      <c r="F41" s="47">
        <f>AVERAGE(F2:F40)</f>
        <v>16.238117972242385</v>
      </c>
    </row>
    <row r="42" spans="1:8">
      <c r="F42" s="5">
        <f>STDEV(F2:F40)</f>
        <v>4.2343144672153219</v>
      </c>
    </row>
  </sheetData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26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1.33203125" style="1" customWidth="1"/>
    <col min="2" max="2" width="16.83203125" style="1" customWidth="1"/>
    <col min="3" max="3" width="9.6640625" style="56" customWidth="1"/>
    <col min="4" max="4" width="10" style="31" customWidth="1"/>
    <col min="5" max="5" width="12.6640625" style="1" customWidth="1"/>
    <col min="6" max="6" width="16.83203125" style="1" customWidth="1"/>
    <col min="7" max="7" width="14.1640625" style="1" customWidth="1"/>
    <col min="8" max="8" width="16.83203125" style="101" customWidth="1"/>
    <col min="9" max="9" width="10.83203125" style="2"/>
    <col min="10" max="10" width="11.83203125" style="89" customWidth="1"/>
    <col min="11" max="11" width="13" style="2" customWidth="1"/>
    <col min="12" max="12" width="11.83203125" style="89" customWidth="1"/>
    <col min="13" max="13" width="10.83203125" style="2"/>
    <col min="14" max="14" width="15" style="89" customWidth="1"/>
    <col min="15" max="15" width="10.83203125" style="2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52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53</v>
      </c>
      <c r="B2" s="1" t="s">
        <v>54</v>
      </c>
      <c r="C2" s="53">
        <v>65.587765957446805</v>
      </c>
      <c r="D2" s="54">
        <f>C2*1000</f>
        <v>65587.765957446813</v>
      </c>
      <c r="E2" s="32" t="s">
        <v>51</v>
      </c>
      <c r="F2" s="55">
        <v>25</v>
      </c>
      <c r="G2" s="1">
        <v>-1.5</v>
      </c>
      <c r="H2" s="101">
        <f>(F2-26.04090909)/1.617105968</f>
        <v>-0.64368638209119489</v>
      </c>
      <c r="I2" s="3">
        <v>0.94304271331900003</v>
      </c>
      <c r="J2" s="88">
        <v>66000</v>
      </c>
      <c r="K2" s="3">
        <v>0.94304271331900003</v>
      </c>
      <c r="L2" s="88">
        <v>66000</v>
      </c>
      <c r="M2" s="3">
        <v>0.55654979802399995</v>
      </c>
      <c r="N2" s="88">
        <v>66000</v>
      </c>
      <c r="O2" s="3">
        <v>0.18551659934100001</v>
      </c>
      <c r="P2" s="88">
        <v>66000</v>
      </c>
    </row>
    <row r="3" spans="1:16">
      <c r="A3" s="1" t="s">
        <v>53</v>
      </c>
      <c r="B3" s="1" t="s">
        <v>54</v>
      </c>
      <c r="C3" s="53">
        <v>65.75</v>
      </c>
      <c r="D3" s="54">
        <f t="shared" ref="D3:D45" si="0">C3*1000</f>
        <v>65750</v>
      </c>
      <c r="E3" s="32" t="s">
        <v>51</v>
      </c>
      <c r="F3" s="55">
        <v>24.8</v>
      </c>
      <c r="G3" s="1">
        <v>-1.6999999999999993</v>
      </c>
      <c r="H3" s="101">
        <f t="shared" ref="H3:H45" si="1">(F3-26.04090909)/1.617105968</f>
        <v>-0.76736411500275836</v>
      </c>
      <c r="I3" s="3">
        <v>0.27827489901199998</v>
      </c>
      <c r="J3" s="88">
        <v>66200</v>
      </c>
      <c r="K3" s="3">
        <v>0.27827489901199998</v>
      </c>
      <c r="L3" s="88">
        <v>66150</v>
      </c>
      <c r="M3" s="3">
        <v>0.401952631906</v>
      </c>
      <c r="N3" s="88">
        <v>66100</v>
      </c>
      <c r="O3" s="3">
        <v>1.42229392828</v>
      </c>
      <c r="P3" s="88">
        <v>66050</v>
      </c>
    </row>
    <row r="4" spans="1:16">
      <c r="A4" s="1" t="s">
        <v>53</v>
      </c>
      <c r="B4" s="1" t="s">
        <v>54</v>
      </c>
      <c r="C4" s="56">
        <v>66</v>
      </c>
      <c r="D4" s="54">
        <f t="shared" si="0"/>
        <v>66000</v>
      </c>
      <c r="E4" s="32" t="s">
        <v>51</v>
      </c>
      <c r="F4" s="55">
        <v>25.2</v>
      </c>
      <c r="G4" s="1">
        <v>-1.3000000000000007</v>
      </c>
      <c r="H4" s="101">
        <f t="shared" si="1"/>
        <v>-0.52000864917963141</v>
      </c>
      <c r="I4" s="3">
        <v>0.61838866447100005</v>
      </c>
      <c r="J4" s="88">
        <v>66400</v>
      </c>
      <c r="K4" s="3">
        <v>0.43287206512999998</v>
      </c>
      <c r="L4" s="88">
        <v>66300</v>
      </c>
      <c r="M4" s="3">
        <v>0.247355465788</v>
      </c>
      <c r="N4" s="88">
        <v>66200</v>
      </c>
      <c r="O4" s="3">
        <v>0.18551659934100001</v>
      </c>
      <c r="P4" s="88">
        <v>66100</v>
      </c>
    </row>
    <row r="5" spans="1:16">
      <c r="A5" s="1" t="s">
        <v>53</v>
      </c>
      <c r="B5" s="1" t="s">
        <v>55</v>
      </c>
      <c r="C5" s="56">
        <v>66</v>
      </c>
      <c r="D5" s="54">
        <f t="shared" si="0"/>
        <v>66000</v>
      </c>
      <c r="E5" s="32" t="s">
        <v>51</v>
      </c>
      <c r="F5" s="55">
        <v>23.9</v>
      </c>
      <c r="G5" s="1">
        <v>-4.4000000000000021</v>
      </c>
      <c r="H5" s="101">
        <f t="shared" si="1"/>
        <v>-1.3239139131047972</v>
      </c>
      <c r="I5" s="3">
        <v>0.57200951463600003</v>
      </c>
      <c r="J5" s="88">
        <v>66600</v>
      </c>
      <c r="K5" s="3">
        <v>0.77298583058899994</v>
      </c>
      <c r="L5" s="88">
        <v>66450</v>
      </c>
      <c r="M5" s="3">
        <v>0.43287206512999998</v>
      </c>
      <c r="N5" s="88">
        <v>66300</v>
      </c>
      <c r="O5" s="3">
        <v>0.123677732894</v>
      </c>
      <c r="P5" s="88">
        <v>66150</v>
      </c>
    </row>
    <row r="6" spans="1:16">
      <c r="A6" s="1" t="s">
        <v>53</v>
      </c>
      <c r="B6" s="1" t="s">
        <v>54</v>
      </c>
      <c r="C6" s="53">
        <v>66.011178451178452</v>
      </c>
      <c r="D6" s="54">
        <f t="shared" si="0"/>
        <v>66011.17845117845</v>
      </c>
      <c r="E6" s="32" t="s">
        <v>51</v>
      </c>
      <c r="F6" s="55">
        <v>25.6</v>
      </c>
      <c r="G6" s="1">
        <v>-0.89999999999999858</v>
      </c>
      <c r="H6" s="101">
        <f t="shared" si="1"/>
        <v>-0.27265318335650229</v>
      </c>
      <c r="I6" s="3">
        <v>0.247355465788</v>
      </c>
      <c r="J6" s="88">
        <v>66800</v>
      </c>
      <c r="K6" s="3">
        <v>0.61838866447100005</v>
      </c>
      <c r="L6" s="88">
        <v>66600</v>
      </c>
      <c r="M6" s="3">
        <v>0.52563036480100001</v>
      </c>
      <c r="N6" s="88">
        <v>66400</v>
      </c>
      <c r="O6" s="3">
        <v>0.30919433223600001</v>
      </c>
      <c r="P6" s="88">
        <v>66200</v>
      </c>
    </row>
    <row r="7" spans="1:16">
      <c r="A7" s="1" t="s">
        <v>53</v>
      </c>
      <c r="B7" s="1" t="s">
        <v>54</v>
      </c>
      <c r="C7" s="53">
        <v>66.022491582491583</v>
      </c>
      <c r="D7" s="54">
        <f t="shared" si="0"/>
        <v>66022.491582491581</v>
      </c>
      <c r="E7" s="32" t="s">
        <v>51</v>
      </c>
      <c r="F7" s="55">
        <v>25.2</v>
      </c>
      <c r="G7" s="1">
        <v>-1.3000000000000007</v>
      </c>
      <c r="H7" s="101">
        <f t="shared" si="1"/>
        <v>-0.52000864917963141</v>
      </c>
      <c r="I7" s="3">
        <v>9.2758299670699998E-2</v>
      </c>
      <c r="J7" s="88">
        <v>67000</v>
      </c>
      <c r="K7" s="3">
        <v>0.55654979802399995</v>
      </c>
      <c r="L7" s="88">
        <v>66750</v>
      </c>
      <c r="M7" s="3">
        <v>0.27827489901199998</v>
      </c>
      <c r="N7" s="88">
        <v>66500</v>
      </c>
      <c r="O7" s="3">
        <v>0.27827489901199998</v>
      </c>
      <c r="P7" s="88">
        <v>66350</v>
      </c>
    </row>
    <row r="8" spans="1:16">
      <c r="A8" s="1" t="s">
        <v>53</v>
      </c>
      <c r="B8" s="1" t="s">
        <v>54</v>
      </c>
      <c r="C8" s="53">
        <v>66.024511784511787</v>
      </c>
      <c r="D8" s="54">
        <f t="shared" si="0"/>
        <v>66024.511784511793</v>
      </c>
      <c r="E8" s="32" t="s">
        <v>51</v>
      </c>
      <c r="F8" s="55">
        <v>25.5</v>
      </c>
      <c r="G8" s="1">
        <v>-1</v>
      </c>
      <c r="H8" s="101">
        <f t="shared" si="1"/>
        <v>-0.33449204981228514</v>
      </c>
      <c r="K8" s="3">
        <v>0.371033198683</v>
      </c>
      <c r="L8" s="88">
        <v>66900</v>
      </c>
      <c r="M8" s="3">
        <v>0.30919433223600001</v>
      </c>
      <c r="N8" s="88">
        <v>66600</v>
      </c>
      <c r="O8" s="3">
        <v>0.52563036480100001</v>
      </c>
      <c r="P8" s="88">
        <v>66400</v>
      </c>
    </row>
    <row r="9" spans="1:16">
      <c r="A9" s="1" t="s">
        <v>53</v>
      </c>
      <c r="B9" s="1" t="s">
        <v>54</v>
      </c>
      <c r="C9" s="53">
        <v>66.027609427609434</v>
      </c>
      <c r="D9" s="54">
        <f t="shared" si="0"/>
        <v>66027.609427609437</v>
      </c>
      <c r="E9" s="32" t="s">
        <v>51</v>
      </c>
      <c r="F9" s="55">
        <v>25.2</v>
      </c>
      <c r="G9" s="1">
        <v>-1.3000000000000007</v>
      </c>
      <c r="H9" s="101">
        <f t="shared" si="1"/>
        <v>-0.52000864917963141</v>
      </c>
      <c r="M9" s="3">
        <v>0.30919433223600001</v>
      </c>
      <c r="N9" s="88">
        <v>66700</v>
      </c>
      <c r="O9" s="3">
        <v>0.30919433223600001</v>
      </c>
      <c r="P9" s="88">
        <v>66600</v>
      </c>
    </row>
    <row r="10" spans="1:16">
      <c r="A10" s="1" t="s">
        <v>53</v>
      </c>
      <c r="B10" s="1" t="s">
        <v>54</v>
      </c>
      <c r="C10" s="53">
        <v>66.030707070707081</v>
      </c>
      <c r="D10" s="54">
        <f t="shared" si="0"/>
        <v>66030.707070707082</v>
      </c>
      <c r="E10" s="32" t="s">
        <v>51</v>
      </c>
      <c r="F10" s="55">
        <v>24.7</v>
      </c>
      <c r="G10" s="1">
        <v>-1.8000000000000007</v>
      </c>
      <c r="H10" s="101">
        <f t="shared" si="1"/>
        <v>-0.82920298145854121</v>
      </c>
      <c r="M10" s="3">
        <v>0.46379149835299999</v>
      </c>
      <c r="N10" s="88">
        <v>66800</v>
      </c>
      <c r="O10" s="3">
        <v>0.55654979802399995</v>
      </c>
      <c r="P10" s="88">
        <v>66750</v>
      </c>
    </row>
    <row r="11" spans="1:16">
      <c r="A11" s="1" t="s">
        <v>53</v>
      </c>
      <c r="B11" s="1" t="s">
        <v>54</v>
      </c>
      <c r="C11" s="53">
        <v>66.032996632996642</v>
      </c>
      <c r="D11" s="54">
        <f t="shared" si="0"/>
        <v>66032.996632996641</v>
      </c>
      <c r="E11" s="32" t="s">
        <v>51</v>
      </c>
      <c r="F11" s="55">
        <v>25.6</v>
      </c>
      <c r="G11" s="1">
        <v>-0.89999999999999858</v>
      </c>
      <c r="H11" s="101">
        <f t="shared" si="1"/>
        <v>-0.27265318335650229</v>
      </c>
      <c r="O11" s="3">
        <v>0.123677732894</v>
      </c>
      <c r="P11" s="88">
        <v>66850</v>
      </c>
    </row>
    <row r="12" spans="1:16">
      <c r="A12" s="1" t="s">
        <v>53</v>
      </c>
      <c r="B12" s="1" t="s">
        <v>54</v>
      </c>
      <c r="C12" s="53">
        <v>66.034882154882155</v>
      </c>
      <c r="D12" s="54">
        <f t="shared" si="0"/>
        <v>66034.882154882158</v>
      </c>
      <c r="E12" s="32" t="s">
        <v>51</v>
      </c>
      <c r="F12" s="57">
        <v>22.8</v>
      </c>
      <c r="G12" s="58">
        <v>-3.6999999999999993</v>
      </c>
      <c r="H12" s="101">
        <f t="shared" si="1"/>
        <v>-2.0041414441183973</v>
      </c>
    </row>
    <row r="13" spans="1:16">
      <c r="A13" s="1" t="s">
        <v>53</v>
      </c>
      <c r="B13" s="1" t="s">
        <v>55</v>
      </c>
      <c r="C13" s="56">
        <v>66.037000000000006</v>
      </c>
      <c r="D13" s="54">
        <f t="shared" si="0"/>
        <v>66037</v>
      </c>
      <c r="E13" s="32" t="s">
        <v>51</v>
      </c>
      <c r="F13" s="55">
        <v>24</v>
      </c>
      <c r="G13" s="1">
        <v>-4.3000000000000007</v>
      </c>
      <c r="H13" s="101">
        <f t="shared" si="1"/>
        <v>-1.2620750466490145</v>
      </c>
    </row>
    <row r="14" spans="1:16">
      <c r="A14" s="1" t="s">
        <v>53</v>
      </c>
      <c r="B14" s="1" t="s">
        <v>54</v>
      </c>
      <c r="C14" s="56">
        <v>66.040000000000006</v>
      </c>
      <c r="D14" s="54">
        <f t="shared" si="0"/>
        <v>66040</v>
      </c>
      <c r="E14" s="32" t="s">
        <v>51</v>
      </c>
      <c r="F14" s="49">
        <v>26.5</v>
      </c>
      <c r="G14" s="35">
        <v>0</v>
      </c>
      <c r="H14" s="101">
        <f t="shared" si="1"/>
        <v>0.2838966147455344</v>
      </c>
    </row>
    <row r="15" spans="1:16">
      <c r="A15" s="1" t="s">
        <v>53</v>
      </c>
      <c r="B15" s="1" t="s">
        <v>55</v>
      </c>
      <c r="C15" s="56">
        <v>66.040000000000006</v>
      </c>
      <c r="D15" s="54">
        <f t="shared" si="0"/>
        <v>66040</v>
      </c>
      <c r="E15" s="32" t="s">
        <v>51</v>
      </c>
      <c r="F15" s="55">
        <v>28.3</v>
      </c>
      <c r="G15" s="1">
        <v>0</v>
      </c>
      <c r="H15" s="101">
        <f t="shared" si="1"/>
        <v>1.3969962109496099</v>
      </c>
    </row>
    <row r="16" spans="1:16">
      <c r="A16" s="1" t="s">
        <v>53</v>
      </c>
      <c r="B16" s="1" t="s">
        <v>54</v>
      </c>
      <c r="C16" s="53">
        <v>66.043474903474916</v>
      </c>
      <c r="D16" s="54">
        <f t="shared" si="0"/>
        <v>66043.474903474911</v>
      </c>
      <c r="E16" s="32" t="s">
        <v>51</v>
      </c>
      <c r="F16" s="57">
        <v>26.1</v>
      </c>
      <c r="G16" s="58">
        <v>-0.39999999999999858</v>
      </c>
      <c r="H16" s="101">
        <f t="shared" si="1"/>
        <v>3.6541148922407465E-2</v>
      </c>
    </row>
    <row r="17" spans="1:8">
      <c r="A17" s="1" t="s">
        <v>53</v>
      </c>
      <c r="B17" s="1" t="s">
        <v>54</v>
      </c>
      <c r="C17" s="53">
        <v>66.058532818532825</v>
      </c>
      <c r="D17" s="54">
        <f t="shared" si="0"/>
        <v>66058.532818532825</v>
      </c>
      <c r="E17" s="32" t="s">
        <v>51</v>
      </c>
      <c r="F17" s="57">
        <v>26.9</v>
      </c>
      <c r="G17" s="58">
        <v>0.39999999999999858</v>
      </c>
      <c r="H17" s="101">
        <f t="shared" si="1"/>
        <v>0.53125208056866136</v>
      </c>
    </row>
    <row r="18" spans="1:8">
      <c r="A18" s="1" t="s">
        <v>53</v>
      </c>
      <c r="B18" s="1" t="s">
        <v>56</v>
      </c>
      <c r="C18" s="56">
        <v>66.067274356323537</v>
      </c>
      <c r="D18" s="54">
        <f t="shared" si="0"/>
        <v>66067.274356323542</v>
      </c>
      <c r="E18" s="32" t="s">
        <v>51</v>
      </c>
      <c r="F18" s="55">
        <v>27.7</v>
      </c>
      <c r="G18" s="1">
        <v>0</v>
      </c>
      <c r="H18" s="101">
        <f t="shared" si="1"/>
        <v>1.0259630122149175</v>
      </c>
    </row>
    <row r="19" spans="1:8">
      <c r="A19" s="1" t="s">
        <v>53</v>
      </c>
      <c r="B19" s="1" t="s">
        <v>54</v>
      </c>
      <c r="C19" s="53">
        <v>66.071737451737448</v>
      </c>
      <c r="D19" s="54">
        <f t="shared" si="0"/>
        <v>66071.737451737441</v>
      </c>
      <c r="E19" s="32" t="s">
        <v>51</v>
      </c>
      <c r="F19" s="57">
        <v>27.6</v>
      </c>
      <c r="G19" s="58">
        <v>1.1000000000000014</v>
      </c>
      <c r="H19" s="101">
        <f t="shared" si="1"/>
        <v>0.96412414575913674</v>
      </c>
    </row>
    <row r="20" spans="1:8">
      <c r="A20" s="1" t="s">
        <v>53</v>
      </c>
      <c r="B20" s="1" t="s">
        <v>54</v>
      </c>
      <c r="C20" s="56">
        <v>66.099999999999994</v>
      </c>
      <c r="D20" s="54">
        <f t="shared" si="0"/>
        <v>66100</v>
      </c>
      <c r="E20" s="32" t="s">
        <v>51</v>
      </c>
      <c r="F20" s="49">
        <v>28.5</v>
      </c>
      <c r="G20" s="35">
        <v>2</v>
      </c>
      <c r="H20" s="101">
        <f t="shared" si="1"/>
        <v>1.5206739438611734</v>
      </c>
    </row>
    <row r="21" spans="1:8">
      <c r="A21" s="1" t="s">
        <v>53</v>
      </c>
      <c r="B21" s="1" t="s">
        <v>56</v>
      </c>
      <c r="C21" s="56">
        <v>66.10314606409689</v>
      </c>
      <c r="D21" s="54">
        <f t="shared" si="0"/>
        <v>66103.146064096887</v>
      </c>
      <c r="E21" s="32" t="s">
        <v>51</v>
      </c>
      <c r="F21" s="55">
        <v>27.9</v>
      </c>
      <c r="G21" s="1">
        <v>0.19999999999999929</v>
      </c>
      <c r="H21" s="101">
        <f t="shared" si="1"/>
        <v>1.149640745126481</v>
      </c>
    </row>
    <row r="22" spans="1:8">
      <c r="A22" s="1" t="s">
        <v>53</v>
      </c>
      <c r="B22" s="1" t="s">
        <v>54</v>
      </c>
      <c r="C22" s="53">
        <v>66.129309309309306</v>
      </c>
      <c r="D22" s="54">
        <f t="shared" si="0"/>
        <v>66129.309309309305</v>
      </c>
      <c r="E22" s="32" t="s">
        <v>51</v>
      </c>
      <c r="F22" s="57">
        <v>28.4</v>
      </c>
      <c r="G22" s="58">
        <v>1.8999999999999986</v>
      </c>
      <c r="H22" s="101">
        <f t="shared" si="1"/>
        <v>1.4588350774053906</v>
      </c>
    </row>
    <row r="23" spans="1:8">
      <c r="A23" s="1" t="s">
        <v>53</v>
      </c>
      <c r="B23" s="1" t="s">
        <v>56</v>
      </c>
      <c r="C23" s="56">
        <v>66.166588588588581</v>
      </c>
      <c r="D23" s="54">
        <f t="shared" si="0"/>
        <v>66166.58858858858</v>
      </c>
      <c r="E23" s="32" t="s">
        <v>51</v>
      </c>
      <c r="F23" s="55">
        <v>28.8</v>
      </c>
      <c r="G23" s="1">
        <v>1.1000000000000014</v>
      </c>
      <c r="H23" s="101">
        <f t="shared" si="1"/>
        <v>1.7061905432285198</v>
      </c>
    </row>
    <row r="24" spans="1:8">
      <c r="A24" s="1" t="s">
        <v>53</v>
      </c>
      <c r="B24" s="1" t="s">
        <v>54</v>
      </c>
      <c r="C24" s="53">
        <v>66.175075075075071</v>
      </c>
      <c r="D24" s="54">
        <f t="shared" si="0"/>
        <v>66175.075075075074</v>
      </c>
      <c r="E24" s="32" t="s">
        <v>51</v>
      </c>
      <c r="F24" s="57">
        <v>28.3</v>
      </c>
      <c r="G24" s="58">
        <v>1.8000000000000007</v>
      </c>
      <c r="H24" s="101">
        <f t="shared" si="1"/>
        <v>1.3969962109496099</v>
      </c>
    </row>
    <row r="25" spans="1:8">
      <c r="A25" s="1" t="s">
        <v>53</v>
      </c>
      <c r="B25" s="1" t="s">
        <v>54</v>
      </c>
      <c r="C25" s="53">
        <v>66.220840840840836</v>
      </c>
      <c r="D25" s="54">
        <f t="shared" si="0"/>
        <v>66220.840840840843</v>
      </c>
      <c r="E25" s="32" t="s">
        <v>51</v>
      </c>
      <c r="F25" s="57">
        <v>29.1</v>
      </c>
      <c r="G25" s="58">
        <v>2.6000000000000014</v>
      </c>
      <c r="H25" s="101">
        <f t="shared" si="1"/>
        <v>1.891707142595866</v>
      </c>
    </row>
    <row r="26" spans="1:8">
      <c r="A26" s="1" t="s">
        <v>53</v>
      </c>
      <c r="B26" s="1" t="s">
        <v>55</v>
      </c>
      <c r="C26" s="56">
        <v>66.220840840840793</v>
      </c>
      <c r="D26" s="54">
        <f t="shared" si="0"/>
        <v>66220.8408408408</v>
      </c>
      <c r="E26" s="32" t="s">
        <v>51</v>
      </c>
      <c r="F26" s="55">
        <v>28.9</v>
      </c>
      <c r="G26" s="1">
        <v>0.59999999999999787</v>
      </c>
      <c r="H26" s="101">
        <f t="shared" si="1"/>
        <v>1.7680294096843003</v>
      </c>
    </row>
    <row r="27" spans="1:8">
      <c r="A27" s="1" t="s">
        <v>53</v>
      </c>
      <c r="B27" s="1" t="s">
        <v>56</v>
      </c>
      <c r="C27" s="56">
        <v>66.220840840840836</v>
      </c>
      <c r="D27" s="54">
        <f t="shared" si="0"/>
        <v>66220.840840840843</v>
      </c>
      <c r="E27" s="32" t="s">
        <v>51</v>
      </c>
      <c r="F27" s="55">
        <v>28.5</v>
      </c>
      <c r="G27" s="1">
        <v>0.80000000000000071</v>
      </c>
      <c r="H27" s="101">
        <f t="shared" si="1"/>
        <v>1.5206739438611734</v>
      </c>
    </row>
    <row r="28" spans="1:8">
      <c r="A28" s="1" t="s">
        <v>53</v>
      </c>
      <c r="B28" s="1" t="s">
        <v>54</v>
      </c>
      <c r="C28" s="53">
        <v>66.313213213213217</v>
      </c>
      <c r="D28" s="54">
        <f t="shared" si="0"/>
        <v>66313.21321321321</v>
      </c>
      <c r="E28" s="32" t="s">
        <v>51</v>
      </c>
      <c r="F28" s="55">
        <v>26</v>
      </c>
      <c r="G28" s="1">
        <v>-0.5</v>
      </c>
      <c r="H28" s="101">
        <f t="shared" si="1"/>
        <v>-2.5297717533375362E-2</v>
      </c>
    </row>
    <row r="29" spans="1:8">
      <c r="A29" s="1" t="s">
        <v>53</v>
      </c>
      <c r="B29" s="1" t="s">
        <v>56</v>
      </c>
      <c r="C29" s="56">
        <v>66.32904888495051</v>
      </c>
      <c r="D29" s="54">
        <f t="shared" si="0"/>
        <v>66329.048884950505</v>
      </c>
      <c r="E29" s="32" t="s">
        <v>51</v>
      </c>
      <c r="F29" s="55">
        <v>27.4</v>
      </c>
      <c r="G29" s="1">
        <v>-0.30000000000000071</v>
      </c>
      <c r="H29" s="101">
        <f t="shared" si="1"/>
        <v>0.84044641284757104</v>
      </c>
    </row>
    <row r="30" spans="1:8">
      <c r="A30" s="1" t="s">
        <v>53</v>
      </c>
      <c r="B30" s="1" t="s">
        <v>55</v>
      </c>
      <c r="C30" s="56">
        <v>66.373283122231129</v>
      </c>
      <c r="D30" s="54">
        <f t="shared" si="0"/>
        <v>66373.283122231136</v>
      </c>
      <c r="E30" s="32" t="s">
        <v>51</v>
      </c>
      <c r="F30" s="55">
        <v>26.5</v>
      </c>
      <c r="G30" s="1">
        <v>-1.8000000000000007</v>
      </c>
      <c r="H30" s="101">
        <f t="shared" si="1"/>
        <v>0.2838966147455344</v>
      </c>
    </row>
    <row r="31" spans="1:8">
      <c r="A31" s="1" t="s">
        <v>53</v>
      </c>
      <c r="B31" s="1" t="s">
        <v>56</v>
      </c>
      <c r="C31" s="56">
        <v>66.392491409442215</v>
      </c>
      <c r="D31" s="54">
        <f t="shared" si="0"/>
        <v>66392.491409442213</v>
      </c>
      <c r="E31" s="32" t="s">
        <v>51</v>
      </c>
      <c r="F31" s="55">
        <v>27</v>
      </c>
      <c r="G31" s="1">
        <v>-0.69999999999999929</v>
      </c>
      <c r="H31" s="101">
        <f t="shared" si="1"/>
        <v>0.5930909470244442</v>
      </c>
    </row>
    <row r="32" spans="1:8">
      <c r="A32" s="1" t="s">
        <v>53</v>
      </c>
      <c r="B32" s="1" t="s">
        <v>54</v>
      </c>
      <c r="C32" s="53">
        <v>66.40390390390391</v>
      </c>
      <c r="D32" s="54">
        <f t="shared" si="0"/>
        <v>66403.903903903905</v>
      </c>
      <c r="E32" s="32" t="s">
        <v>51</v>
      </c>
      <c r="F32" s="55">
        <v>25.3</v>
      </c>
      <c r="G32" s="1">
        <v>-1.1999999999999993</v>
      </c>
      <c r="H32" s="101">
        <f t="shared" si="1"/>
        <v>-0.45816978272384856</v>
      </c>
    </row>
    <row r="33" spans="1:8">
      <c r="A33" s="1" t="s">
        <v>53</v>
      </c>
      <c r="B33" s="1" t="s">
        <v>54</v>
      </c>
      <c r="C33" s="56">
        <v>66.5</v>
      </c>
      <c r="D33" s="54">
        <f t="shared" si="0"/>
        <v>66500</v>
      </c>
      <c r="E33" s="32" t="s">
        <v>51</v>
      </c>
      <c r="F33" s="55">
        <v>24.5</v>
      </c>
      <c r="G33" s="1">
        <v>-2</v>
      </c>
      <c r="H33" s="101">
        <f t="shared" si="1"/>
        <v>-0.95288071437010469</v>
      </c>
    </row>
    <row r="34" spans="1:8">
      <c r="A34" s="1" t="s">
        <v>53</v>
      </c>
      <c r="B34" s="1" t="s">
        <v>56</v>
      </c>
      <c r="C34" s="56">
        <v>66.527973809875419</v>
      </c>
      <c r="D34" s="54">
        <f t="shared" si="0"/>
        <v>66527.973809875417</v>
      </c>
      <c r="E34" s="32" t="s">
        <v>51</v>
      </c>
      <c r="F34" s="55">
        <v>25.4</v>
      </c>
      <c r="G34" s="1">
        <v>-2.3000000000000007</v>
      </c>
      <c r="H34" s="101">
        <f t="shared" si="1"/>
        <v>-0.39633091626806793</v>
      </c>
    </row>
    <row r="35" spans="1:8">
      <c r="A35" s="1" t="s">
        <v>53</v>
      </c>
      <c r="B35" s="1" t="s">
        <v>54</v>
      </c>
      <c r="C35" s="53">
        <v>66.581918986195973</v>
      </c>
      <c r="D35" s="54">
        <f t="shared" si="0"/>
        <v>66581.918986195975</v>
      </c>
      <c r="E35" s="32" t="s">
        <v>51</v>
      </c>
      <c r="F35" s="55">
        <v>24.3</v>
      </c>
      <c r="G35" s="1">
        <v>-2.1999999999999993</v>
      </c>
      <c r="H35" s="101">
        <f t="shared" si="1"/>
        <v>-1.0765584472816681</v>
      </c>
    </row>
    <row r="36" spans="1:8">
      <c r="A36" s="1" t="s">
        <v>53</v>
      </c>
      <c r="B36" s="1" t="s">
        <v>55</v>
      </c>
      <c r="C36" s="56">
        <v>66.595348296316089</v>
      </c>
      <c r="D36" s="54">
        <f t="shared" si="0"/>
        <v>66595.348296316093</v>
      </c>
      <c r="E36" s="32" t="s">
        <v>51</v>
      </c>
      <c r="F36" s="55">
        <v>25.3</v>
      </c>
      <c r="G36" s="1">
        <v>-3</v>
      </c>
      <c r="H36" s="101">
        <f t="shared" si="1"/>
        <v>-0.45816978272384856</v>
      </c>
    </row>
    <row r="37" spans="1:8">
      <c r="A37" s="1" t="s">
        <v>53</v>
      </c>
      <c r="B37" s="1" t="s">
        <v>56</v>
      </c>
      <c r="C37" s="56">
        <v>66.618394230295834</v>
      </c>
      <c r="D37" s="54">
        <f t="shared" si="0"/>
        <v>66618.394230295831</v>
      </c>
      <c r="E37" s="32" t="s">
        <v>51</v>
      </c>
      <c r="F37" s="55">
        <v>25.2</v>
      </c>
      <c r="G37" s="1">
        <v>-2.5</v>
      </c>
      <c r="H37" s="101">
        <f t="shared" si="1"/>
        <v>-0.52000864917963141</v>
      </c>
    </row>
    <row r="38" spans="1:8">
      <c r="A38" s="1" t="s">
        <v>53</v>
      </c>
      <c r="B38" s="1" t="s">
        <v>54</v>
      </c>
      <c r="C38" s="53">
        <v>66.667232405521617</v>
      </c>
      <c r="D38" s="54">
        <f t="shared" si="0"/>
        <v>66667.232405521616</v>
      </c>
      <c r="E38" s="32" t="s">
        <v>51</v>
      </c>
      <c r="F38" s="55">
        <v>24.1</v>
      </c>
      <c r="G38" s="1">
        <v>-2.3999999999999986</v>
      </c>
      <c r="H38" s="101">
        <f t="shared" si="1"/>
        <v>-1.2002361801932315</v>
      </c>
    </row>
    <row r="39" spans="1:8">
      <c r="A39" s="1" t="s">
        <v>53</v>
      </c>
      <c r="B39" s="1" t="s">
        <v>55</v>
      </c>
      <c r="C39" s="56">
        <v>66.705925831772333</v>
      </c>
      <c r="D39" s="54">
        <f t="shared" si="0"/>
        <v>66705.925831772329</v>
      </c>
      <c r="E39" s="32" t="s">
        <v>51</v>
      </c>
      <c r="F39" s="55">
        <v>25.1</v>
      </c>
      <c r="G39" s="1">
        <v>-3.1999999999999993</v>
      </c>
      <c r="H39" s="101">
        <f t="shared" si="1"/>
        <v>-0.58184751563541204</v>
      </c>
    </row>
    <row r="40" spans="1:8">
      <c r="A40" s="1" t="s">
        <v>53</v>
      </c>
      <c r="B40" s="1" t="s">
        <v>56</v>
      </c>
      <c r="C40" s="56">
        <v>66.753876630729053</v>
      </c>
      <c r="D40" s="54">
        <f t="shared" si="0"/>
        <v>66753.87663072905</v>
      </c>
      <c r="E40" s="32" t="s">
        <v>51</v>
      </c>
      <c r="F40" s="55">
        <v>25.6</v>
      </c>
      <c r="G40" s="1">
        <v>-2.0999999999999979</v>
      </c>
      <c r="H40" s="101">
        <f t="shared" si="1"/>
        <v>-0.27265318335650229</v>
      </c>
    </row>
    <row r="41" spans="1:8">
      <c r="A41" s="1" t="s">
        <v>53</v>
      </c>
      <c r="B41" s="1" t="s">
        <v>54</v>
      </c>
      <c r="C41" s="53">
        <v>66.757750622312741</v>
      </c>
      <c r="D41" s="54">
        <f t="shared" si="0"/>
        <v>66757.750622312742</v>
      </c>
      <c r="E41" s="32" t="s">
        <v>51</v>
      </c>
      <c r="F41" s="55">
        <v>23.8</v>
      </c>
      <c r="G41" s="1">
        <v>-2.6999999999999993</v>
      </c>
      <c r="H41" s="101">
        <f t="shared" si="1"/>
        <v>-1.385752779560578</v>
      </c>
    </row>
    <row r="42" spans="1:8">
      <c r="A42" s="1" t="s">
        <v>53</v>
      </c>
      <c r="B42" s="1" t="s">
        <v>54</v>
      </c>
      <c r="C42" s="53">
        <v>66.84136682507355</v>
      </c>
      <c r="D42" s="54">
        <f t="shared" si="0"/>
        <v>66841.36682507355</v>
      </c>
      <c r="E42" s="32" t="s">
        <v>51</v>
      </c>
      <c r="F42" s="55">
        <v>24.7</v>
      </c>
      <c r="G42" s="1">
        <v>-1.8000000000000007</v>
      </c>
      <c r="H42" s="101">
        <f t="shared" si="1"/>
        <v>-0.82920298145854121</v>
      </c>
    </row>
    <row r="43" spans="1:8">
      <c r="A43" s="1" t="s">
        <v>53</v>
      </c>
      <c r="B43" s="1" t="s">
        <v>56</v>
      </c>
      <c r="C43" s="56">
        <v>66.844297051149468</v>
      </c>
      <c r="D43" s="54">
        <f t="shared" si="0"/>
        <v>66844.297051149464</v>
      </c>
      <c r="E43" s="32" t="s">
        <v>51</v>
      </c>
      <c r="F43" s="55">
        <v>25.1</v>
      </c>
      <c r="G43" s="1">
        <v>-2.5999999999999979</v>
      </c>
      <c r="H43" s="101">
        <f t="shared" si="1"/>
        <v>-0.58184751563541204</v>
      </c>
    </row>
    <row r="44" spans="1:8">
      <c r="A44" s="1" t="s">
        <v>53</v>
      </c>
      <c r="B44" s="1" t="s">
        <v>54</v>
      </c>
      <c r="C44" s="53">
        <v>66.926793392170168</v>
      </c>
      <c r="D44" s="54">
        <f t="shared" si="0"/>
        <v>66926.793392170162</v>
      </c>
      <c r="E44" s="32" t="s">
        <v>51</v>
      </c>
      <c r="F44" s="55">
        <v>25.9</v>
      </c>
      <c r="G44" s="1">
        <v>-0.60000000000000142</v>
      </c>
      <c r="H44" s="101">
        <f t="shared" si="1"/>
        <v>-8.7136583989158189E-2</v>
      </c>
    </row>
    <row r="45" spans="1:8">
      <c r="A45" s="1" t="s">
        <v>53</v>
      </c>
      <c r="B45" s="1" t="s">
        <v>54</v>
      </c>
      <c r="C45" s="56">
        <v>67</v>
      </c>
      <c r="D45" s="54">
        <f t="shared" si="0"/>
        <v>67000</v>
      </c>
      <c r="E45" s="32" t="s">
        <v>51</v>
      </c>
      <c r="F45" s="55">
        <v>25.6</v>
      </c>
      <c r="G45" s="1">
        <v>-0.89999999999999858</v>
      </c>
      <c r="H45" s="101">
        <f t="shared" si="1"/>
        <v>-0.27265318335650229</v>
      </c>
    </row>
    <row r="46" spans="1:8">
      <c r="F46" s="1">
        <f>AVERAGE(F2:F45)</f>
        <v>26.040909090909086</v>
      </c>
    </row>
    <row r="47" spans="1:8">
      <c r="F47" s="1">
        <f>STDEV(F2:F45)</f>
        <v>1.6171059682264401</v>
      </c>
    </row>
    <row r="378" spans="1:2">
      <c r="A378" s="27"/>
      <c r="B378" s="30"/>
    </row>
    <row r="379" spans="1:2">
      <c r="A379" s="27"/>
      <c r="B379" s="30"/>
    </row>
    <row r="380" spans="1:2">
      <c r="A380" s="27"/>
      <c r="B380" s="30"/>
    </row>
    <row r="381" spans="1:2">
      <c r="A381" s="27"/>
      <c r="B381" s="30"/>
    </row>
    <row r="382" spans="1:2">
      <c r="A382" s="27"/>
      <c r="B382" s="30"/>
    </row>
    <row r="383" spans="1:2">
      <c r="A383" s="27"/>
      <c r="B383" s="30"/>
    </row>
    <row r="384" spans="1:2">
      <c r="A384" s="27"/>
      <c r="B384" s="30"/>
    </row>
    <row r="385" spans="1:2">
      <c r="A385" s="27"/>
      <c r="B385" s="30"/>
    </row>
    <row r="386" spans="1:2">
      <c r="A386" s="27"/>
      <c r="B386" s="30"/>
    </row>
    <row r="387" spans="1:2">
      <c r="A387" s="27"/>
      <c r="B387" s="30"/>
    </row>
    <row r="388" spans="1:2">
      <c r="A388" s="27"/>
      <c r="B388" s="30"/>
    </row>
    <row r="389" spans="1:2">
      <c r="A389" s="27"/>
      <c r="B389" s="30"/>
    </row>
    <row r="390" spans="1:2">
      <c r="A390" s="27"/>
      <c r="B390" s="30"/>
    </row>
    <row r="391" spans="1:2">
      <c r="A391" s="27"/>
      <c r="B391" s="30"/>
    </row>
    <row r="392" spans="1:2">
      <c r="A392" s="27"/>
      <c r="B392" s="30"/>
    </row>
    <row r="393" spans="1:2">
      <c r="A393" s="27"/>
      <c r="B393" s="30"/>
    </row>
    <row r="394" spans="1:2">
      <c r="A394" s="27"/>
      <c r="B394" s="30"/>
    </row>
    <row r="395" spans="1:2">
      <c r="A395" s="27"/>
      <c r="B395" s="30"/>
    </row>
    <row r="396" spans="1:2">
      <c r="A396" s="27"/>
      <c r="B396" s="30"/>
    </row>
    <row r="397" spans="1:2">
      <c r="A397" s="27"/>
      <c r="B397" s="30"/>
    </row>
    <row r="398" spans="1:2">
      <c r="A398" s="27"/>
      <c r="B398" s="30"/>
    </row>
    <row r="399" spans="1:2">
      <c r="A399" s="27"/>
      <c r="B399" s="30"/>
    </row>
    <row r="400" spans="1:2">
      <c r="A400" s="27"/>
      <c r="B400" s="30"/>
    </row>
    <row r="449" spans="2:7">
      <c r="C449" s="59"/>
      <c r="D449" s="60"/>
      <c r="E449" s="41"/>
      <c r="F449" s="41"/>
      <c r="G449" s="41"/>
    </row>
    <row r="450" spans="2:7">
      <c r="C450" s="59"/>
      <c r="D450" s="60"/>
      <c r="E450" s="41"/>
      <c r="F450" s="41"/>
      <c r="G450" s="41"/>
    </row>
    <row r="451" spans="2:7">
      <c r="C451" s="59"/>
      <c r="D451" s="60"/>
      <c r="E451" s="41"/>
      <c r="F451" s="41"/>
      <c r="G451" s="41"/>
    </row>
    <row r="452" spans="2:7">
      <c r="C452" s="59"/>
      <c r="D452" s="60"/>
      <c r="E452" s="41"/>
      <c r="F452" s="41"/>
      <c r="G452" s="41"/>
    </row>
    <row r="453" spans="2:7">
      <c r="B453" s="41"/>
      <c r="C453" s="59"/>
      <c r="D453" s="60"/>
      <c r="E453" s="41"/>
      <c r="F453" s="41"/>
      <c r="G453" s="41"/>
    </row>
    <row r="454" spans="2:7">
      <c r="B454" s="41"/>
    </row>
    <row r="455" spans="2:7">
      <c r="B455" s="41"/>
    </row>
    <row r="456" spans="2:7">
      <c r="B456" s="41"/>
    </row>
    <row r="457" spans="2:7">
      <c r="B457" s="41"/>
    </row>
    <row r="466" spans="1:1">
      <c r="A466" s="41"/>
    </row>
    <row r="467" spans="1:1">
      <c r="A467" s="41"/>
    </row>
    <row r="468" spans="1:1">
      <c r="A468" s="41"/>
    </row>
    <row r="469" spans="1:1">
      <c r="A469" s="41"/>
    </row>
    <row r="470" spans="1:1">
      <c r="A470" s="41"/>
    </row>
    <row r="497" spans="1:2">
      <c r="B497" s="3"/>
    </row>
    <row r="498" spans="1:2">
      <c r="B498" s="3"/>
    </row>
    <row r="499" spans="1:2">
      <c r="B499" s="3"/>
    </row>
    <row r="500" spans="1:2">
      <c r="B500" s="3"/>
    </row>
    <row r="501" spans="1:2">
      <c r="B501" s="3"/>
    </row>
    <row r="502" spans="1:2">
      <c r="B502" s="3"/>
    </row>
    <row r="503" spans="1:2">
      <c r="A503" s="27"/>
      <c r="B503" s="3"/>
    </row>
    <row r="504" spans="1:2">
      <c r="A504" s="27"/>
      <c r="B504" s="3"/>
    </row>
    <row r="505" spans="1:2">
      <c r="A505" s="27"/>
      <c r="B505" s="3"/>
    </row>
    <row r="506" spans="1:2">
      <c r="A506" s="27"/>
      <c r="B506" s="3"/>
    </row>
    <row r="507" spans="1:2">
      <c r="A507" s="27"/>
      <c r="B507" s="3"/>
    </row>
    <row r="508" spans="1:2">
      <c r="A508" s="27"/>
      <c r="B508" s="3"/>
    </row>
    <row r="509" spans="1:2">
      <c r="A509" s="27"/>
      <c r="B509" s="3"/>
    </row>
    <row r="510" spans="1:2">
      <c r="A510" s="27"/>
      <c r="B510" s="3"/>
    </row>
    <row r="511" spans="1:2">
      <c r="A511" s="27"/>
      <c r="B511" s="3"/>
    </row>
    <row r="512" spans="1:2">
      <c r="A512" s="27"/>
      <c r="B512" s="3"/>
    </row>
    <row r="513" spans="1:2">
      <c r="A513" s="27"/>
      <c r="B513" s="3"/>
    </row>
    <row r="514" spans="1:2">
      <c r="A514" s="27"/>
      <c r="B514" s="3"/>
    </row>
    <row r="515" spans="1:2">
      <c r="A515" s="27"/>
      <c r="B515" s="3"/>
    </row>
    <row r="516" spans="1:2">
      <c r="A516" s="27"/>
      <c r="B516" s="3"/>
    </row>
    <row r="517" spans="1:2">
      <c r="A517" s="27"/>
      <c r="B517" s="3"/>
    </row>
    <row r="518" spans="1:2">
      <c r="A518" s="27"/>
      <c r="B518" s="3"/>
    </row>
    <row r="519" spans="1:2">
      <c r="A519" s="27"/>
      <c r="B519" s="3"/>
    </row>
    <row r="520" spans="1:2">
      <c r="A520" s="27"/>
      <c r="B520" s="3"/>
    </row>
    <row r="521" spans="1:2">
      <c r="A521" s="27"/>
      <c r="B521" s="3"/>
    </row>
    <row r="522" spans="1:2">
      <c r="A522" s="27"/>
      <c r="B522" s="3"/>
    </row>
    <row r="523" spans="1:2">
      <c r="A523" s="27"/>
      <c r="B523" s="3"/>
    </row>
    <row r="524" spans="1:2">
      <c r="A524" s="27"/>
      <c r="B524" s="3"/>
    </row>
    <row r="525" spans="1:2">
      <c r="A525" s="27"/>
      <c r="B525" s="3"/>
    </row>
    <row r="526" spans="1:2">
      <c r="A526" s="27"/>
      <c r="B526" s="3"/>
    </row>
    <row r="527" spans="1:2">
      <c r="A527" s="27"/>
      <c r="B527" s="3"/>
    </row>
    <row r="528" spans="1:2">
      <c r="A528" s="27"/>
      <c r="B528" s="3"/>
    </row>
    <row r="529" spans="1:2">
      <c r="A529" s="27"/>
      <c r="B529" s="3"/>
    </row>
    <row r="530" spans="1:2">
      <c r="A530" s="27"/>
      <c r="B530" s="3"/>
    </row>
    <row r="531" spans="1:2">
      <c r="A531" s="27"/>
      <c r="B531" s="3"/>
    </row>
    <row r="532" spans="1:2">
      <c r="A532" s="27"/>
      <c r="B532" s="3"/>
    </row>
    <row r="533" spans="1:2">
      <c r="A533" s="27"/>
      <c r="B533" s="3"/>
    </row>
    <row r="534" spans="1:2">
      <c r="A534" s="27"/>
      <c r="B534" s="3"/>
    </row>
    <row r="535" spans="1:2">
      <c r="A535" s="27"/>
      <c r="B535" s="3"/>
    </row>
    <row r="536" spans="1:2">
      <c r="A536" s="27"/>
      <c r="B536" s="3"/>
    </row>
    <row r="537" spans="1:2">
      <c r="A537" s="27"/>
      <c r="B537" s="3"/>
    </row>
    <row r="538" spans="1:2">
      <c r="A538" s="27"/>
      <c r="B538" s="3"/>
    </row>
    <row r="539" spans="1:2">
      <c r="A539" s="27"/>
      <c r="B539" s="3"/>
    </row>
    <row r="540" spans="1:2">
      <c r="A540" s="27"/>
      <c r="B540" s="3"/>
    </row>
    <row r="541" spans="1:2">
      <c r="A541" s="27"/>
      <c r="B541" s="3"/>
    </row>
    <row r="542" spans="1:2">
      <c r="A542" s="27"/>
      <c r="B542" s="3"/>
    </row>
    <row r="543" spans="1:2">
      <c r="A543" s="27"/>
      <c r="B543" s="3"/>
    </row>
    <row r="544" spans="1:2">
      <c r="A544" s="27"/>
      <c r="B544" s="3"/>
    </row>
    <row r="545" spans="1:2">
      <c r="A545" s="27"/>
      <c r="B545" s="3"/>
    </row>
    <row r="546" spans="1:2">
      <c r="A546" s="27"/>
      <c r="B546" s="3"/>
    </row>
    <row r="547" spans="1:2">
      <c r="A547" s="27"/>
      <c r="B547" s="3"/>
    </row>
    <row r="548" spans="1:2">
      <c r="A548" s="27"/>
      <c r="B548" s="3"/>
    </row>
    <row r="549" spans="1:2">
      <c r="A549" s="27"/>
      <c r="B549" s="3"/>
    </row>
    <row r="550" spans="1:2">
      <c r="A550" s="27"/>
      <c r="B550" s="3"/>
    </row>
    <row r="551" spans="1:2">
      <c r="A551" s="27"/>
      <c r="B551" s="3"/>
    </row>
    <row r="552" spans="1:2">
      <c r="A552" s="27"/>
      <c r="B552" s="3"/>
    </row>
    <row r="553" spans="1:2">
      <c r="A553" s="27"/>
      <c r="B553" s="3"/>
    </row>
    <row r="554" spans="1:2">
      <c r="A554" s="27"/>
      <c r="B554" s="3"/>
    </row>
    <row r="555" spans="1:2">
      <c r="A555" s="27"/>
      <c r="B555" s="3"/>
    </row>
    <row r="556" spans="1:2">
      <c r="A556" s="27"/>
      <c r="B556" s="3"/>
    </row>
    <row r="557" spans="1:2">
      <c r="A557" s="27"/>
      <c r="B557" s="3"/>
    </row>
    <row r="558" spans="1:2">
      <c r="A558" s="27"/>
      <c r="B558" s="3"/>
    </row>
    <row r="559" spans="1:2">
      <c r="A559" s="27"/>
      <c r="B559" s="3"/>
    </row>
    <row r="560" spans="1:2">
      <c r="A560" s="27"/>
      <c r="B560" s="3"/>
    </row>
    <row r="561" spans="1:2">
      <c r="A561" s="27"/>
      <c r="B561" s="3"/>
    </row>
    <row r="562" spans="1:2">
      <c r="A562" s="27"/>
      <c r="B562" s="3"/>
    </row>
    <row r="563" spans="1:2">
      <c r="A563" s="27"/>
      <c r="B563" s="3"/>
    </row>
    <row r="564" spans="1:2">
      <c r="A564" s="27"/>
      <c r="B564" s="3"/>
    </row>
    <row r="565" spans="1:2">
      <c r="A565" s="27"/>
      <c r="B565" s="3"/>
    </row>
    <row r="566" spans="1:2">
      <c r="A566" s="27"/>
      <c r="B566" s="3"/>
    </row>
    <row r="567" spans="1:2">
      <c r="A567" s="27"/>
      <c r="B567" s="3"/>
    </row>
    <row r="568" spans="1:2">
      <c r="A568" s="27"/>
      <c r="B568" s="3"/>
    </row>
    <row r="569" spans="1:2">
      <c r="A569" s="27"/>
      <c r="B569" s="30"/>
    </row>
    <row r="570" spans="1:2">
      <c r="A570" s="27"/>
      <c r="B570" s="30"/>
    </row>
    <row r="571" spans="1:2">
      <c r="A571" s="27"/>
      <c r="B571" s="30"/>
    </row>
    <row r="572" spans="1:2">
      <c r="A572" s="27"/>
      <c r="B572" s="30"/>
    </row>
    <row r="573" spans="1:2">
      <c r="A573" s="27"/>
      <c r="B573" s="30"/>
    </row>
    <row r="574" spans="1:2">
      <c r="A574" s="30"/>
    </row>
    <row r="575" spans="1:2">
      <c r="A575" s="30"/>
    </row>
    <row r="576" spans="1:2">
      <c r="A576" s="30"/>
    </row>
    <row r="577" spans="1:1">
      <c r="A577" s="30"/>
    </row>
    <row r="578" spans="1:1">
      <c r="A578" s="30"/>
    </row>
    <row r="579" spans="1:1">
      <c r="A579" s="30"/>
    </row>
    <row r="580" spans="1:1">
      <c r="A580" s="30"/>
    </row>
    <row r="581" spans="1:1">
      <c r="A581" s="30"/>
    </row>
    <row r="582" spans="1:1">
      <c r="A582" s="30"/>
    </row>
    <row r="583" spans="1:1">
      <c r="A583" s="30"/>
    </row>
    <row r="584" spans="1:1">
      <c r="A584" s="30"/>
    </row>
    <row r="585" spans="1:1">
      <c r="A585" s="30"/>
    </row>
    <row r="586" spans="1:1">
      <c r="A586" s="30"/>
    </row>
    <row r="587" spans="1:1">
      <c r="A587" s="30"/>
    </row>
    <row r="588" spans="1:1">
      <c r="A588" s="30"/>
    </row>
    <row r="589" spans="1:1">
      <c r="A589" s="30"/>
    </row>
    <row r="590" spans="1:1">
      <c r="A590" s="30"/>
    </row>
    <row r="591" spans="1:1">
      <c r="A591" s="30"/>
    </row>
    <row r="592" spans="1:1">
      <c r="A592" s="30"/>
    </row>
    <row r="593" spans="1:1">
      <c r="A593" s="30"/>
    </row>
    <row r="594" spans="1:1">
      <c r="A594" s="30"/>
    </row>
    <row r="595" spans="1:1">
      <c r="A595" s="30"/>
    </row>
    <row r="596" spans="1:1">
      <c r="A596" s="30"/>
    </row>
    <row r="597" spans="1:1">
      <c r="A597" s="30"/>
    </row>
    <row r="598" spans="1:1">
      <c r="A598" s="30"/>
    </row>
    <row r="599" spans="1:1">
      <c r="A599" s="30"/>
    </row>
    <row r="600" spans="1:1">
      <c r="A600" s="30"/>
    </row>
    <row r="601" spans="1:1">
      <c r="A601" s="30"/>
    </row>
    <row r="602" spans="1:1">
      <c r="A602" s="30"/>
    </row>
    <row r="603" spans="1:1">
      <c r="A603" s="30"/>
    </row>
    <row r="604" spans="1:1">
      <c r="A604" s="30"/>
    </row>
    <row r="605" spans="1:1">
      <c r="A605" s="30"/>
    </row>
    <row r="606" spans="1:1">
      <c r="A606" s="30"/>
    </row>
    <row r="607" spans="1:1">
      <c r="A607" s="30"/>
    </row>
    <row r="608" spans="1:1">
      <c r="A608" s="30"/>
    </row>
    <row r="609" spans="1:1">
      <c r="A609" s="30"/>
    </row>
    <row r="610" spans="1:1">
      <c r="A610" s="30"/>
    </row>
    <row r="611" spans="1:1">
      <c r="A611" s="30"/>
    </row>
    <row r="612" spans="1:1">
      <c r="A612" s="30"/>
    </row>
    <row r="613" spans="1:1">
      <c r="A613" s="30"/>
    </row>
    <row r="614" spans="1:1">
      <c r="A614" s="30"/>
    </row>
    <row r="615" spans="1:1">
      <c r="A615" s="30"/>
    </row>
    <row r="616" spans="1:1">
      <c r="A616" s="30"/>
    </row>
    <row r="617" spans="1:1">
      <c r="A617" s="30"/>
    </row>
    <row r="618" spans="1:1">
      <c r="A618" s="30"/>
    </row>
    <row r="619" spans="1:1">
      <c r="A619" s="30"/>
    </row>
    <row r="620" spans="1:1">
      <c r="A620" s="30"/>
    </row>
    <row r="621" spans="1:1">
      <c r="A621" s="30"/>
    </row>
    <row r="622" spans="1:1">
      <c r="A622" s="30"/>
    </row>
    <row r="623" spans="1:1">
      <c r="A623" s="30"/>
    </row>
    <row r="624" spans="1:1">
      <c r="A624" s="30"/>
    </row>
    <row r="625" spans="1:1">
      <c r="A625" s="30"/>
    </row>
    <row r="626" spans="1:1">
      <c r="A626" s="30"/>
    </row>
    <row r="627" spans="1:1">
      <c r="A627" s="30"/>
    </row>
    <row r="628" spans="1:1">
      <c r="A628" s="30"/>
    </row>
    <row r="629" spans="1:1">
      <c r="A629" s="30"/>
    </row>
    <row r="630" spans="1:1">
      <c r="A630" s="30"/>
    </row>
    <row r="631" spans="1:1">
      <c r="A631" s="30"/>
    </row>
    <row r="632" spans="1:1">
      <c r="A632" s="30"/>
    </row>
    <row r="633" spans="1:1">
      <c r="A633" s="30"/>
    </row>
    <row r="634" spans="1:1">
      <c r="A634" s="30"/>
    </row>
    <row r="635" spans="1:1">
      <c r="A635" s="30"/>
    </row>
    <row r="636" spans="1:1">
      <c r="A636" s="30"/>
    </row>
    <row r="637" spans="1:1">
      <c r="A637" s="30"/>
    </row>
    <row r="638" spans="1:1">
      <c r="A638" s="30"/>
    </row>
    <row r="639" spans="1:1">
      <c r="A639" s="30"/>
    </row>
    <row r="640" spans="1:1">
      <c r="A640" s="30"/>
    </row>
    <row r="641" spans="1:1">
      <c r="A641" s="30"/>
    </row>
    <row r="642" spans="1:1">
      <c r="A642" s="30"/>
    </row>
    <row r="643" spans="1:1">
      <c r="A643" s="30"/>
    </row>
    <row r="644" spans="1:1">
      <c r="A644" s="30"/>
    </row>
    <row r="645" spans="1:1">
      <c r="A645" s="30"/>
    </row>
    <row r="646" spans="1:1">
      <c r="A646" s="30"/>
    </row>
    <row r="647" spans="1:1">
      <c r="A647" s="30"/>
    </row>
    <row r="648" spans="1:1">
      <c r="A648" s="30"/>
    </row>
    <row r="649" spans="1:1">
      <c r="A649" s="30"/>
    </row>
    <row r="650" spans="1:1">
      <c r="A650" s="30"/>
    </row>
    <row r="651" spans="1:1">
      <c r="A651" s="30"/>
    </row>
    <row r="652" spans="1:1">
      <c r="A652" s="30"/>
    </row>
    <row r="653" spans="1:1">
      <c r="A653" s="30"/>
    </row>
    <row r="654" spans="1:1">
      <c r="A654" s="30"/>
    </row>
    <row r="655" spans="1:1">
      <c r="A655" s="30"/>
    </row>
    <row r="656" spans="1:1">
      <c r="A656" s="30"/>
    </row>
    <row r="657" spans="1:1">
      <c r="A657" s="30"/>
    </row>
    <row r="658" spans="1:1">
      <c r="A658" s="30"/>
    </row>
    <row r="659" spans="1:1">
      <c r="A659" s="30"/>
    </row>
    <row r="660" spans="1:1">
      <c r="A660" s="30"/>
    </row>
    <row r="661" spans="1:1">
      <c r="A661" s="30"/>
    </row>
    <row r="662" spans="1:1">
      <c r="A662" s="30"/>
    </row>
    <row r="663" spans="1:1">
      <c r="A663" s="30"/>
    </row>
    <row r="664" spans="1:1">
      <c r="A664" s="30"/>
    </row>
    <row r="665" spans="1:1">
      <c r="A665" s="30"/>
    </row>
    <row r="666" spans="1:1">
      <c r="A666" s="30"/>
    </row>
    <row r="667" spans="1:1">
      <c r="A667" s="30"/>
    </row>
    <row r="668" spans="1:1">
      <c r="A668" s="30"/>
    </row>
    <row r="669" spans="1:1">
      <c r="A669" s="30"/>
    </row>
    <row r="670" spans="1:1">
      <c r="A670" s="30"/>
    </row>
    <row r="671" spans="1:1">
      <c r="A671" s="30"/>
    </row>
    <row r="672" spans="1:1">
      <c r="A672" s="30"/>
    </row>
    <row r="673" spans="1:1">
      <c r="A673" s="30"/>
    </row>
    <row r="674" spans="1:1">
      <c r="A674" s="30"/>
    </row>
    <row r="675" spans="1:1">
      <c r="A675" s="30"/>
    </row>
    <row r="676" spans="1:1">
      <c r="A676" s="30"/>
    </row>
    <row r="677" spans="1:1">
      <c r="A677" s="30"/>
    </row>
    <row r="678" spans="1:1">
      <c r="A678" s="30"/>
    </row>
    <row r="679" spans="1:1">
      <c r="A679" s="30"/>
    </row>
    <row r="680" spans="1:1">
      <c r="A680" s="30"/>
    </row>
    <row r="681" spans="1:1">
      <c r="A681" s="30"/>
    </row>
    <row r="682" spans="1:1">
      <c r="A682" s="30"/>
    </row>
    <row r="683" spans="1:1">
      <c r="A683" s="30"/>
    </row>
    <row r="684" spans="1:1">
      <c r="A684" s="30"/>
    </row>
    <row r="685" spans="1:1">
      <c r="A685" s="30"/>
    </row>
    <row r="686" spans="1:1">
      <c r="A686" s="30"/>
    </row>
    <row r="687" spans="1:1">
      <c r="A687" s="30"/>
    </row>
    <row r="688" spans="1:1">
      <c r="A688" s="30"/>
    </row>
    <row r="689" spans="1:1">
      <c r="A689" s="30"/>
    </row>
    <row r="690" spans="1:1">
      <c r="A690" s="30"/>
    </row>
    <row r="691" spans="1:1">
      <c r="A691" s="30"/>
    </row>
    <row r="692" spans="1:1">
      <c r="A692" s="30"/>
    </row>
    <row r="693" spans="1:1">
      <c r="A693" s="30"/>
    </row>
    <row r="694" spans="1:1">
      <c r="A694" s="30"/>
    </row>
    <row r="695" spans="1:1">
      <c r="A695" s="30"/>
    </row>
    <row r="696" spans="1:1">
      <c r="A696" s="30"/>
    </row>
    <row r="697" spans="1:1">
      <c r="A697" s="30"/>
    </row>
    <row r="698" spans="1:1">
      <c r="A698" s="30"/>
    </row>
    <row r="699" spans="1:1">
      <c r="A699" s="30"/>
    </row>
    <row r="700" spans="1:1">
      <c r="A700" s="30"/>
    </row>
    <row r="701" spans="1:1">
      <c r="A701" s="30"/>
    </row>
    <row r="702" spans="1:1">
      <c r="A702" s="30"/>
    </row>
    <row r="703" spans="1:1">
      <c r="A703" s="30"/>
    </row>
    <row r="704" spans="1:1">
      <c r="A704" s="30"/>
    </row>
    <row r="705" spans="1:1">
      <c r="A705" s="30"/>
    </row>
    <row r="706" spans="1:1">
      <c r="A706" s="30"/>
    </row>
    <row r="707" spans="1:1">
      <c r="A707" s="30"/>
    </row>
    <row r="708" spans="1:1">
      <c r="A708" s="30"/>
    </row>
    <row r="709" spans="1:1">
      <c r="A709" s="30"/>
    </row>
    <row r="710" spans="1:1">
      <c r="A710" s="30"/>
    </row>
    <row r="711" spans="1:1">
      <c r="A711" s="30"/>
    </row>
    <row r="712" spans="1:1">
      <c r="A712" s="30"/>
    </row>
    <row r="713" spans="1:1">
      <c r="A713" s="30"/>
    </row>
    <row r="714" spans="1:1">
      <c r="A714" s="30"/>
    </row>
    <row r="715" spans="1:1">
      <c r="A715" s="30"/>
    </row>
    <row r="716" spans="1:1">
      <c r="A716" s="30"/>
    </row>
    <row r="717" spans="1:1">
      <c r="A717" s="30"/>
    </row>
    <row r="718" spans="1:1">
      <c r="A718" s="30"/>
    </row>
    <row r="719" spans="1:1">
      <c r="A719" s="30"/>
    </row>
    <row r="720" spans="1:1">
      <c r="A720" s="30"/>
    </row>
    <row r="721" spans="1:1">
      <c r="A721" s="30"/>
    </row>
    <row r="722" spans="1:1">
      <c r="A722" s="30"/>
    </row>
    <row r="723" spans="1:1">
      <c r="A723" s="30"/>
    </row>
    <row r="724" spans="1:1">
      <c r="A724" s="30"/>
    </row>
    <row r="725" spans="1:1">
      <c r="A725" s="30"/>
    </row>
    <row r="726" spans="1:1">
      <c r="A726" s="30"/>
    </row>
  </sheetData>
  <phoneticPr fontId="1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7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1.33203125" style="2" customWidth="1"/>
    <col min="2" max="2" width="12.1640625" style="2" customWidth="1"/>
    <col min="3" max="3" width="9.6640625" style="2" customWidth="1"/>
    <col min="4" max="4" width="11" style="45" customWidth="1"/>
    <col min="5" max="5" width="12.6640625" style="2" customWidth="1"/>
    <col min="6" max="6" width="16.83203125" style="2" customWidth="1"/>
    <col min="7" max="7" width="14.16406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57</v>
      </c>
      <c r="B2" s="1" t="s">
        <v>58</v>
      </c>
      <c r="C2" s="27">
        <v>65.664772727272734</v>
      </c>
      <c r="D2" s="28">
        <f>C2*1000</f>
        <v>65664.772727272735</v>
      </c>
      <c r="E2" s="32" t="s">
        <v>51</v>
      </c>
      <c r="F2" s="49">
        <v>31.844180227151163</v>
      </c>
      <c r="G2" s="35">
        <v>1.5243855408281917</v>
      </c>
      <c r="H2" s="101">
        <f>(F2-29.83257856)/1.708191618</f>
        <v>1.1776206170045505</v>
      </c>
      <c r="I2" s="3">
        <v>1.0054293394</v>
      </c>
      <c r="J2" s="88">
        <v>65600</v>
      </c>
      <c r="K2" s="3">
        <v>1.0054293394</v>
      </c>
      <c r="L2" s="88">
        <v>65700</v>
      </c>
      <c r="M2" s="3">
        <v>1.0054293394</v>
      </c>
      <c r="N2" s="88">
        <v>65700</v>
      </c>
      <c r="O2" s="3">
        <v>0.62418590007899999</v>
      </c>
      <c r="P2" s="88">
        <v>65850</v>
      </c>
    </row>
    <row r="3" spans="1:16">
      <c r="A3" s="1" t="s">
        <v>57</v>
      </c>
      <c r="B3" s="1" t="s">
        <v>58</v>
      </c>
      <c r="C3" s="27">
        <v>65.693181818181813</v>
      </c>
      <c r="D3" s="28">
        <f t="shared" ref="D3:D55" si="0">C3*1000</f>
        <v>65693.181818181809</v>
      </c>
      <c r="E3" s="32" t="s">
        <v>51</v>
      </c>
      <c r="F3" s="49">
        <v>28.40924828629597</v>
      </c>
      <c r="G3" s="35">
        <v>-1.9105464000270018</v>
      </c>
      <c r="H3" s="101">
        <f t="shared" ref="H3:H55" si="1">(F3-29.83257856)/1.708191618</f>
        <v>-0.83323806223244901</v>
      </c>
      <c r="I3" s="3">
        <v>0.61572616288399995</v>
      </c>
      <c r="J3" s="88">
        <v>65800</v>
      </c>
      <c r="K3" s="3">
        <v>0.29643313901099999</v>
      </c>
      <c r="L3" s="88">
        <v>65850</v>
      </c>
      <c r="M3" s="3">
        <v>9.3077294690000006E-2</v>
      </c>
      <c r="N3" s="88">
        <v>65800</v>
      </c>
      <c r="O3" s="3">
        <v>9.5186551017800006E-2</v>
      </c>
      <c r="P3" s="88">
        <v>65900</v>
      </c>
    </row>
    <row r="4" spans="1:16">
      <c r="A4" s="1" t="s">
        <v>57</v>
      </c>
      <c r="B4" s="1" t="s">
        <v>58</v>
      </c>
      <c r="C4" s="27">
        <v>65.75</v>
      </c>
      <c r="D4" s="28">
        <f t="shared" si="0"/>
        <v>65750</v>
      </c>
      <c r="E4" s="32" t="s">
        <v>51</v>
      </c>
      <c r="F4" s="49">
        <v>29.856607363029472</v>
      </c>
      <c r="G4" s="35">
        <v>-0.46318732329349999</v>
      </c>
      <c r="H4" s="101">
        <f t="shared" si="1"/>
        <v>1.406680771423266E-2</v>
      </c>
      <c r="I4" s="3">
        <v>0.89246327303700002</v>
      </c>
      <c r="J4" s="88">
        <v>66000</v>
      </c>
      <c r="K4" s="3">
        <v>0.93754553150300002</v>
      </c>
      <c r="L4" s="88">
        <v>66000</v>
      </c>
      <c r="M4" s="3">
        <v>0.34792454330900002</v>
      </c>
      <c r="N4" s="88">
        <v>65900</v>
      </c>
      <c r="O4" s="3">
        <v>0.32604448374700001</v>
      </c>
      <c r="P4" s="88">
        <v>65950</v>
      </c>
    </row>
    <row r="5" spans="1:16">
      <c r="A5" s="1" t="s">
        <v>57</v>
      </c>
      <c r="B5" s="1" t="s">
        <v>58</v>
      </c>
      <c r="C5" s="27">
        <v>65.829545454545453</v>
      </c>
      <c r="D5" s="28">
        <f t="shared" si="0"/>
        <v>65829.545454545456</v>
      </c>
      <c r="E5" s="32" t="s">
        <v>51</v>
      </c>
      <c r="F5" s="49">
        <v>29.538619653729668</v>
      </c>
      <c r="G5" s="35">
        <v>-0.78117503259330334</v>
      </c>
      <c r="H5" s="101">
        <f t="shared" si="1"/>
        <v>-0.17208778170595929</v>
      </c>
      <c r="I5" s="3">
        <v>0.16129358142399999</v>
      </c>
      <c r="J5" s="88">
        <v>66200</v>
      </c>
      <c r="K5" s="3">
        <v>0.27675556529500001</v>
      </c>
      <c r="L5" s="88">
        <v>66150</v>
      </c>
      <c r="M5" s="3">
        <v>0.93743235704899996</v>
      </c>
      <c r="N5" s="88">
        <v>66000</v>
      </c>
      <c r="O5" s="3">
        <v>0.27770585682900001</v>
      </c>
      <c r="P5" s="88">
        <v>66000</v>
      </c>
    </row>
    <row r="6" spans="1:16">
      <c r="A6" s="1" t="s">
        <v>57</v>
      </c>
      <c r="B6" s="1" t="s">
        <v>58</v>
      </c>
      <c r="C6" s="27">
        <v>65.869318181818187</v>
      </c>
      <c r="D6" s="28">
        <f t="shared" si="0"/>
        <v>65869.318181818191</v>
      </c>
      <c r="E6" s="32" t="s">
        <v>51</v>
      </c>
      <c r="F6" s="49">
        <v>31.671077899368097</v>
      </c>
      <c r="G6" s="35">
        <v>1.3512832130451251</v>
      </c>
      <c r="H6" s="101">
        <f t="shared" si="1"/>
        <v>1.0762840187218943</v>
      </c>
      <c r="M6" s="3">
        <v>0.136776821405</v>
      </c>
      <c r="N6" s="88">
        <v>66100</v>
      </c>
      <c r="O6" s="3">
        <v>0.80316408062800004</v>
      </c>
      <c r="P6" s="88">
        <v>66050</v>
      </c>
    </row>
    <row r="7" spans="1:16">
      <c r="A7" s="1" t="s">
        <v>57</v>
      </c>
      <c r="B7" s="1" t="s">
        <v>58</v>
      </c>
      <c r="C7" s="27">
        <v>65.880681818181813</v>
      </c>
      <c r="D7" s="28">
        <f t="shared" si="0"/>
        <v>65880.681818181809</v>
      </c>
      <c r="E7" s="32" t="s">
        <v>51</v>
      </c>
      <c r="F7" s="49">
        <v>30.475321923146453</v>
      </c>
      <c r="G7" s="35">
        <v>0.15552723682348102</v>
      </c>
      <c r="H7" s="101">
        <f t="shared" si="1"/>
        <v>0.37627123115086669</v>
      </c>
      <c r="M7" s="3">
        <v>5.9307338725799998E-2</v>
      </c>
      <c r="N7" s="88">
        <v>66200</v>
      </c>
    </row>
    <row r="8" spans="1:16">
      <c r="A8" s="1" t="s">
        <v>57</v>
      </c>
      <c r="B8" s="1" t="s">
        <v>58</v>
      </c>
      <c r="C8" s="27">
        <v>65.88636363636364</v>
      </c>
      <c r="D8" s="28">
        <f t="shared" si="0"/>
        <v>65886.363636363647</v>
      </c>
      <c r="E8" s="32" t="s">
        <v>51</v>
      </c>
      <c r="F8" s="49">
        <v>30.908385633677174</v>
      </c>
      <c r="G8" s="35">
        <v>0.58859094735420214</v>
      </c>
      <c r="H8" s="101">
        <f t="shared" si="1"/>
        <v>0.62979297073050733</v>
      </c>
    </row>
    <row r="9" spans="1:16">
      <c r="A9" s="1" t="s">
        <v>57</v>
      </c>
      <c r="B9" s="1" t="s">
        <v>58</v>
      </c>
      <c r="C9" s="27">
        <v>65.909090909090907</v>
      </c>
      <c r="D9" s="28">
        <f t="shared" si="0"/>
        <v>65909.090909090912</v>
      </c>
      <c r="E9" s="32" t="s">
        <v>51</v>
      </c>
      <c r="F9" s="49">
        <v>30.058253295375238</v>
      </c>
      <c r="G9" s="35">
        <v>-0.26154139094773399</v>
      </c>
      <c r="H9" s="101">
        <f t="shared" si="1"/>
        <v>0.13211324361810325</v>
      </c>
    </row>
    <row r="10" spans="1:16">
      <c r="A10" s="1" t="s">
        <v>57</v>
      </c>
      <c r="B10" s="1" t="s">
        <v>58</v>
      </c>
      <c r="C10" s="27">
        <v>65.914772727272734</v>
      </c>
      <c r="D10" s="28">
        <f t="shared" si="0"/>
        <v>65914.772727272735</v>
      </c>
      <c r="E10" s="32" t="s">
        <v>51</v>
      </c>
      <c r="F10" s="49">
        <v>30.501779675685132</v>
      </c>
      <c r="G10" s="35">
        <v>0.18198498936216012</v>
      </c>
      <c r="H10" s="101">
        <f t="shared" si="1"/>
        <v>0.39175998092570552</v>
      </c>
    </row>
    <row r="11" spans="1:16">
      <c r="A11" s="1" t="s">
        <v>57</v>
      </c>
      <c r="B11" s="1" t="s">
        <v>58</v>
      </c>
      <c r="C11" s="27">
        <v>65.914772727272734</v>
      </c>
      <c r="D11" s="28">
        <f t="shared" si="0"/>
        <v>65914.772727272735</v>
      </c>
      <c r="E11" s="32" t="s">
        <v>51</v>
      </c>
      <c r="F11" s="49">
        <v>30.637918791776499</v>
      </c>
      <c r="G11" s="35">
        <v>0.31812410545352776</v>
      </c>
      <c r="H11" s="101">
        <f t="shared" si="1"/>
        <v>0.47145778218922141</v>
      </c>
    </row>
    <row r="12" spans="1:16">
      <c r="A12" s="1" t="s">
        <v>57</v>
      </c>
      <c r="B12" s="1" t="s">
        <v>58</v>
      </c>
      <c r="C12" s="27">
        <v>65.92613636363636</v>
      </c>
      <c r="D12" s="28">
        <f t="shared" si="0"/>
        <v>65926.136363636353</v>
      </c>
      <c r="E12" s="32" t="s">
        <v>51</v>
      </c>
      <c r="F12" s="49">
        <v>30.518898295287471</v>
      </c>
      <c r="G12" s="35">
        <v>0.1991036089644993</v>
      </c>
      <c r="H12" s="101">
        <f t="shared" si="1"/>
        <v>0.40178146763829231</v>
      </c>
    </row>
    <row r="13" spans="1:16">
      <c r="A13" s="1" t="s">
        <v>57</v>
      </c>
      <c r="B13" s="1" t="s">
        <v>58</v>
      </c>
      <c r="C13" s="27">
        <v>65.9375</v>
      </c>
      <c r="D13" s="28">
        <f t="shared" si="0"/>
        <v>65937.5</v>
      </c>
      <c r="E13" s="32" t="s">
        <v>51</v>
      </c>
      <c r="F13" s="49">
        <v>31.632791203991399</v>
      </c>
      <c r="G13" s="35">
        <v>1.3129965176684273</v>
      </c>
      <c r="H13" s="101">
        <f t="shared" si="1"/>
        <v>1.0538704352730275</v>
      </c>
    </row>
    <row r="14" spans="1:16">
      <c r="A14" s="1" t="s">
        <v>57</v>
      </c>
      <c r="B14" s="1" t="s">
        <v>58</v>
      </c>
      <c r="C14" s="27">
        <v>65.954545454545453</v>
      </c>
      <c r="D14" s="28">
        <f t="shared" si="0"/>
        <v>65954.545454545456</v>
      </c>
      <c r="E14" s="32" t="s">
        <v>51</v>
      </c>
      <c r="F14" s="49">
        <v>31.168964728073657</v>
      </c>
      <c r="G14" s="35">
        <v>0.84917004175068556</v>
      </c>
      <c r="H14" s="101">
        <f t="shared" si="1"/>
        <v>0.78233972933220153</v>
      </c>
    </row>
    <row r="15" spans="1:16">
      <c r="A15" s="1" t="s">
        <v>57</v>
      </c>
      <c r="B15" s="1" t="s">
        <v>58</v>
      </c>
      <c r="C15" s="27">
        <v>66.001785714285717</v>
      </c>
      <c r="D15" s="28">
        <f t="shared" si="0"/>
        <v>66001.78571428571</v>
      </c>
      <c r="E15" s="32" t="s">
        <v>51</v>
      </c>
      <c r="F15" s="49">
        <v>32.127934383954404</v>
      </c>
      <c r="G15" s="35">
        <v>1.8081396976314323</v>
      </c>
      <c r="H15" s="101">
        <f t="shared" si="1"/>
        <v>1.3437343912516506</v>
      </c>
    </row>
    <row r="16" spans="1:16">
      <c r="A16" s="1" t="s">
        <v>57</v>
      </c>
      <c r="B16" s="1" t="s">
        <v>58</v>
      </c>
      <c r="C16" s="27">
        <v>66.008928571428569</v>
      </c>
      <c r="D16" s="28">
        <f t="shared" si="0"/>
        <v>66008.928571428565</v>
      </c>
      <c r="E16" s="32" t="s">
        <v>51</v>
      </c>
      <c r="F16" s="49">
        <v>30.675165662743769</v>
      </c>
      <c r="G16" s="35">
        <v>0.35537097642079729</v>
      </c>
      <c r="H16" s="101">
        <f t="shared" si="1"/>
        <v>0.49326263743776738</v>
      </c>
    </row>
    <row r="17" spans="1:8">
      <c r="A17" s="1" t="s">
        <v>57</v>
      </c>
      <c r="B17" s="1" t="s">
        <v>58</v>
      </c>
      <c r="C17" s="27">
        <v>66.008928571428569</v>
      </c>
      <c r="D17" s="28">
        <f t="shared" si="0"/>
        <v>66008.928571428565</v>
      </c>
      <c r="E17" s="32" t="s">
        <v>51</v>
      </c>
      <c r="F17" s="49">
        <v>30.88910708090841</v>
      </c>
      <c r="G17" s="35">
        <v>0.56931239458543814</v>
      </c>
      <c r="H17" s="101">
        <f t="shared" si="1"/>
        <v>0.61850702800276125</v>
      </c>
    </row>
    <row r="18" spans="1:8">
      <c r="A18" s="1" t="s">
        <v>57</v>
      </c>
      <c r="B18" s="1" t="s">
        <v>58</v>
      </c>
      <c r="C18" s="27">
        <v>66.012500000000003</v>
      </c>
      <c r="D18" s="28">
        <f t="shared" si="0"/>
        <v>66012.5</v>
      </c>
      <c r="E18" s="32" t="s">
        <v>51</v>
      </c>
      <c r="F18" s="49">
        <v>30.816569535987966</v>
      </c>
      <c r="G18" s="35">
        <v>0.49677484966499463</v>
      </c>
      <c r="H18" s="101">
        <f t="shared" si="1"/>
        <v>0.57604250344001195</v>
      </c>
    </row>
    <row r="19" spans="1:8">
      <c r="A19" s="1" t="s">
        <v>57</v>
      </c>
      <c r="B19" s="1" t="s">
        <v>58</v>
      </c>
      <c r="C19" s="27">
        <v>66.021428571428572</v>
      </c>
      <c r="D19" s="28">
        <f t="shared" si="0"/>
        <v>66021.428571428565</v>
      </c>
      <c r="E19" s="32" t="s">
        <v>51</v>
      </c>
      <c r="F19" s="49">
        <v>30.787447781187844</v>
      </c>
      <c r="G19" s="35">
        <v>0.46765309486487183</v>
      </c>
      <c r="H19" s="101">
        <f t="shared" si="1"/>
        <v>0.55899420833467739</v>
      </c>
    </row>
    <row r="20" spans="1:8">
      <c r="A20" s="1" t="s">
        <v>57</v>
      </c>
      <c r="B20" s="1" t="s">
        <v>58</v>
      </c>
      <c r="C20" s="27">
        <v>66.024999999999991</v>
      </c>
      <c r="D20" s="28">
        <f t="shared" si="0"/>
        <v>66024.999999999985</v>
      </c>
      <c r="E20" s="32" t="s">
        <v>51</v>
      </c>
      <c r="F20" s="49">
        <v>31.395768355556914</v>
      </c>
      <c r="G20" s="35">
        <v>1.0759736692339423</v>
      </c>
      <c r="H20" s="101">
        <f t="shared" si="1"/>
        <v>0.91511384266546159</v>
      </c>
    </row>
    <row r="21" spans="1:8">
      <c r="A21" s="1" t="s">
        <v>57</v>
      </c>
      <c r="B21" s="1" t="s">
        <v>58</v>
      </c>
      <c r="C21" s="27">
        <v>66.026785714285708</v>
      </c>
      <c r="D21" s="28">
        <f t="shared" si="0"/>
        <v>66026.78571428571</v>
      </c>
      <c r="E21" s="32" t="s">
        <v>51</v>
      </c>
      <c r="F21" s="49">
        <v>31.785306010048689</v>
      </c>
      <c r="G21" s="35">
        <v>1.4655113237257176</v>
      </c>
      <c r="H21" s="101">
        <f t="shared" si="1"/>
        <v>1.1431548015292319</v>
      </c>
    </row>
    <row r="22" spans="1:8">
      <c r="A22" s="1" t="s">
        <v>57</v>
      </c>
      <c r="B22" s="1" t="s">
        <v>58</v>
      </c>
      <c r="C22" s="27">
        <v>66.028571428571425</v>
      </c>
      <c r="D22" s="28">
        <f t="shared" si="0"/>
        <v>66028.57142857142</v>
      </c>
      <c r="E22" s="32" t="s">
        <v>51</v>
      </c>
      <c r="F22" s="49">
        <v>31.881091465708131</v>
      </c>
      <c r="G22" s="35">
        <v>1.5612967793851595</v>
      </c>
      <c r="H22" s="101">
        <f t="shared" si="1"/>
        <v>1.1992289882013281</v>
      </c>
    </row>
    <row r="23" spans="1:8">
      <c r="A23" s="1" t="s">
        <v>57</v>
      </c>
      <c r="B23" s="1" t="s">
        <v>58</v>
      </c>
      <c r="C23" s="27">
        <v>66.030357142857142</v>
      </c>
      <c r="D23" s="28">
        <f t="shared" si="0"/>
        <v>66030.357142857145</v>
      </c>
      <c r="E23" s="32" t="s">
        <v>51</v>
      </c>
      <c r="F23" s="49">
        <v>31.704535269422237</v>
      </c>
      <c r="G23" s="35">
        <v>1.3847405830992656</v>
      </c>
      <c r="H23" s="101">
        <f t="shared" si="1"/>
        <v>1.0958704455030499</v>
      </c>
    </row>
    <row r="24" spans="1:8">
      <c r="A24" s="1" t="s">
        <v>57</v>
      </c>
      <c r="B24" s="1" t="s">
        <v>58</v>
      </c>
      <c r="C24" s="27">
        <v>66.032857142857139</v>
      </c>
      <c r="D24" s="28">
        <f t="shared" si="0"/>
        <v>66032.857142857145</v>
      </c>
      <c r="E24" s="32" t="s">
        <v>51</v>
      </c>
      <c r="F24" s="49">
        <v>31.429333027577808</v>
      </c>
      <c r="G24" s="35">
        <v>1.1095383412548365</v>
      </c>
      <c r="H24" s="101">
        <f t="shared" si="1"/>
        <v>0.93476308556491605</v>
      </c>
    </row>
    <row r="25" spans="1:8">
      <c r="A25" s="1" t="s">
        <v>57</v>
      </c>
      <c r="B25" s="1" t="s">
        <v>58</v>
      </c>
      <c r="C25" s="27">
        <v>66.036428571428573</v>
      </c>
      <c r="D25" s="28">
        <f t="shared" si="0"/>
        <v>66036.42857142858</v>
      </c>
      <c r="E25" s="32" t="s">
        <v>51</v>
      </c>
      <c r="F25" s="49">
        <v>30.766188772846888</v>
      </c>
      <c r="G25" s="35">
        <v>0.44639408652391666</v>
      </c>
      <c r="H25" s="101">
        <f t="shared" si="1"/>
        <v>0.54654887836294641</v>
      </c>
    </row>
    <row r="26" spans="1:8">
      <c r="A26" s="1" t="s">
        <v>57</v>
      </c>
      <c r="B26" s="1" t="s">
        <v>58</v>
      </c>
      <c r="C26" s="27">
        <v>66.037749999999988</v>
      </c>
      <c r="D26" s="28">
        <f t="shared" si="0"/>
        <v>66037.749999999985</v>
      </c>
      <c r="E26" s="32" t="s">
        <v>51</v>
      </c>
      <c r="F26" s="49">
        <v>29.633527306763973</v>
      </c>
      <c r="G26" s="35">
        <v>-0.68626737955899841</v>
      </c>
      <c r="H26" s="101">
        <f t="shared" si="1"/>
        <v>-0.11652747334580847</v>
      </c>
    </row>
    <row r="27" spans="1:8">
      <c r="A27" s="1" t="s">
        <v>57</v>
      </c>
      <c r="B27" s="1" t="s">
        <v>58</v>
      </c>
      <c r="C27" s="27">
        <v>66.037937499999998</v>
      </c>
      <c r="D27" s="28">
        <f t="shared" si="0"/>
        <v>66037.9375</v>
      </c>
      <c r="E27" s="32" t="s">
        <v>51</v>
      </c>
      <c r="F27" s="49">
        <v>29.709213734888078</v>
      </c>
      <c r="G27" s="35">
        <v>-0.6105809514348941</v>
      </c>
      <c r="H27" s="101">
        <f t="shared" si="1"/>
        <v>-7.2219547158510963E-2</v>
      </c>
    </row>
    <row r="28" spans="1:8">
      <c r="A28" s="1" t="s">
        <v>57</v>
      </c>
      <c r="B28" s="1" t="s">
        <v>58</v>
      </c>
      <c r="C28" s="27">
        <v>66.038062499999995</v>
      </c>
      <c r="D28" s="28">
        <f t="shared" si="0"/>
        <v>66038.0625</v>
      </c>
      <c r="E28" s="32" t="s">
        <v>51</v>
      </c>
      <c r="F28" s="49">
        <v>29.369301460655414</v>
      </c>
      <c r="G28" s="35">
        <v>-0.95049322566755734</v>
      </c>
      <c r="H28" s="101">
        <f t="shared" si="1"/>
        <v>-0.27120909297459589</v>
      </c>
    </row>
    <row r="29" spans="1:8">
      <c r="A29" s="1" t="s">
        <v>57</v>
      </c>
      <c r="B29" s="1" t="s">
        <v>58</v>
      </c>
      <c r="C29" s="27">
        <v>66.038124999999994</v>
      </c>
      <c r="D29" s="28">
        <f t="shared" si="0"/>
        <v>66038.125</v>
      </c>
      <c r="E29" s="32" t="s">
        <v>51</v>
      </c>
      <c r="F29" s="49">
        <v>25.822362644548726</v>
      </c>
      <c r="G29" s="35">
        <v>-4.4974320417742462</v>
      </c>
      <c r="H29" s="101">
        <f t="shared" si="1"/>
        <v>-2.3476382117754171</v>
      </c>
    </row>
    <row r="30" spans="1:8">
      <c r="A30" s="1" t="s">
        <v>57</v>
      </c>
      <c r="B30" s="1" t="s">
        <v>58</v>
      </c>
      <c r="C30" s="27">
        <v>66.038187499999992</v>
      </c>
      <c r="D30" s="28">
        <f t="shared" si="0"/>
        <v>66038.187499999985</v>
      </c>
      <c r="E30" s="32" t="s">
        <v>51</v>
      </c>
      <c r="F30" s="49">
        <v>28.673490915788335</v>
      </c>
      <c r="G30" s="35">
        <v>-1.6463037705346366</v>
      </c>
      <c r="H30" s="101">
        <f t="shared" si="1"/>
        <v>-0.67854661736881716</v>
      </c>
    </row>
    <row r="31" spans="1:8">
      <c r="A31" s="1" t="s">
        <v>57</v>
      </c>
      <c r="B31" s="1" t="s">
        <v>58</v>
      </c>
      <c r="C31" s="27">
        <v>66.038250000000005</v>
      </c>
      <c r="D31" s="28">
        <f t="shared" si="0"/>
        <v>66038.25</v>
      </c>
      <c r="E31" s="32" t="s">
        <v>51</v>
      </c>
      <c r="F31" s="49">
        <v>28.226446771726614</v>
      </c>
      <c r="G31" s="35">
        <v>-2.0933479145963574</v>
      </c>
      <c r="H31" s="101">
        <f t="shared" si="1"/>
        <v>-0.94025270429197683</v>
      </c>
    </row>
    <row r="32" spans="1:8">
      <c r="A32" s="1" t="s">
        <v>57</v>
      </c>
      <c r="B32" s="1" t="s">
        <v>58</v>
      </c>
      <c r="C32" s="27">
        <v>66.038250000000005</v>
      </c>
      <c r="D32" s="28">
        <f t="shared" si="0"/>
        <v>66038.25</v>
      </c>
      <c r="E32" s="32" t="s">
        <v>51</v>
      </c>
      <c r="F32" s="49">
        <v>28.123261683896438</v>
      </c>
      <c r="G32" s="35">
        <v>-2.1965330024265342</v>
      </c>
      <c r="H32" s="101">
        <f t="shared" si="1"/>
        <v>-1.0006587423165567</v>
      </c>
    </row>
    <row r="33" spans="1:8">
      <c r="A33" s="1" t="s">
        <v>57</v>
      </c>
      <c r="B33" s="1" t="s">
        <v>58</v>
      </c>
      <c r="C33" s="27">
        <v>66.038499999999999</v>
      </c>
      <c r="D33" s="28">
        <f t="shared" si="0"/>
        <v>66038.5</v>
      </c>
      <c r="E33" s="32" t="s">
        <v>51</v>
      </c>
      <c r="F33" s="49">
        <v>29.401640498299678</v>
      </c>
      <c r="G33" s="35">
        <v>-0.91815418802329418</v>
      </c>
      <c r="H33" s="101">
        <f t="shared" si="1"/>
        <v>-0.25227735410906588</v>
      </c>
    </row>
    <row r="34" spans="1:8">
      <c r="A34" s="1" t="s">
        <v>57</v>
      </c>
      <c r="B34" s="1" t="s">
        <v>58</v>
      </c>
      <c r="C34" s="27">
        <v>66.038624999999996</v>
      </c>
      <c r="D34" s="28">
        <f t="shared" si="0"/>
        <v>66038.625</v>
      </c>
      <c r="E34" s="32" t="s">
        <v>51</v>
      </c>
      <c r="F34" s="49">
        <v>29.186133686089754</v>
      </c>
      <c r="G34" s="35">
        <v>-1.1336610002332179</v>
      </c>
      <c r="H34" s="101">
        <f t="shared" si="1"/>
        <v>-0.37843814891629324</v>
      </c>
    </row>
    <row r="35" spans="1:8">
      <c r="A35" s="1" t="s">
        <v>57</v>
      </c>
      <c r="B35" s="1" t="s">
        <v>58</v>
      </c>
      <c r="C35" s="27">
        <v>66.038624999999996</v>
      </c>
      <c r="D35" s="28">
        <f t="shared" si="0"/>
        <v>66038.625</v>
      </c>
      <c r="E35" s="32" t="s">
        <v>51</v>
      </c>
      <c r="F35" s="49">
        <v>29.318508849981278</v>
      </c>
      <c r="G35" s="35">
        <v>-1.0012858363416939</v>
      </c>
      <c r="H35" s="101">
        <f t="shared" si="1"/>
        <v>-0.30094381953507743</v>
      </c>
    </row>
    <row r="36" spans="1:8">
      <c r="A36" s="1" t="s">
        <v>57</v>
      </c>
      <c r="B36" s="1" t="s">
        <v>58</v>
      </c>
      <c r="C36" s="27">
        <v>66.038749999999993</v>
      </c>
      <c r="D36" s="28">
        <f t="shared" si="0"/>
        <v>66038.75</v>
      </c>
      <c r="E36" s="32" t="s">
        <v>51</v>
      </c>
      <c r="F36" s="49">
        <v>29.627320669312958</v>
      </c>
      <c r="G36" s="35">
        <v>-0.69247401701001365</v>
      </c>
      <c r="H36" s="101">
        <f t="shared" si="1"/>
        <v>-0.12016092839008632</v>
      </c>
    </row>
    <row r="37" spans="1:8">
      <c r="A37" s="1" t="s">
        <v>57</v>
      </c>
      <c r="B37" s="1" t="s">
        <v>58</v>
      </c>
      <c r="C37" s="27">
        <v>66.038768750000003</v>
      </c>
      <c r="D37" s="28">
        <f t="shared" si="0"/>
        <v>66038.768750000003</v>
      </c>
      <c r="E37" s="32" t="s">
        <v>51</v>
      </c>
      <c r="F37" s="49">
        <v>29.195583172816761</v>
      </c>
      <c r="G37" s="35">
        <v>-1.1242115135062107</v>
      </c>
      <c r="H37" s="101">
        <f t="shared" si="1"/>
        <v>-0.37290628315402535</v>
      </c>
    </row>
    <row r="38" spans="1:8">
      <c r="A38" s="1" t="s">
        <v>57</v>
      </c>
      <c r="B38" s="1" t="s">
        <v>58</v>
      </c>
      <c r="C38" s="27">
        <v>66.038868750000006</v>
      </c>
      <c r="D38" s="28">
        <f t="shared" si="0"/>
        <v>66038.868750000009</v>
      </c>
      <c r="E38" s="32" t="s">
        <v>51</v>
      </c>
      <c r="F38" s="49">
        <v>29.309056815811143</v>
      </c>
      <c r="G38" s="35">
        <v>-1.0107378705118286</v>
      </c>
      <c r="H38" s="101">
        <f t="shared" si="1"/>
        <v>-0.30647717660727841</v>
      </c>
    </row>
    <row r="39" spans="1:8">
      <c r="A39" s="1" t="s">
        <v>57</v>
      </c>
      <c r="B39" s="1" t="s">
        <v>58</v>
      </c>
      <c r="C39" s="27">
        <v>66.039168750000002</v>
      </c>
      <c r="D39" s="28">
        <f t="shared" si="0"/>
        <v>66039.168749999997</v>
      </c>
      <c r="E39" s="32" t="s">
        <v>51</v>
      </c>
      <c r="F39" s="49">
        <v>28.735993753935887</v>
      </c>
      <c r="G39" s="35">
        <v>-1.583800932387085</v>
      </c>
      <c r="H39" s="101">
        <f t="shared" si="1"/>
        <v>-0.64195655482025371</v>
      </c>
    </row>
    <row r="40" spans="1:8">
      <c r="A40" s="1" t="s">
        <v>57</v>
      </c>
      <c r="B40" s="1" t="s">
        <v>58</v>
      </c>
      <c r="C40" s="27">
        <v>66.039268750000005</v>
      </c>
      <c r="D40" s="28">
        <f t="shared" si="0"/>
        <v>66039.268750000003</v>
      </c>
      <c r="E40" s="32" t="s">
        <v>51</v>
      </c>
      <c r="F40" s="49">
        <v>28.206101573215008</v>
      </c>
      <c r="G40" s="35">
        <v>-2.1136931131079635</v>
      </c>
      <c r="H40" s="101">
        <f t="shared" si="1"/>
        <v>-0.95216307681530465</v>
      </c>
    </row>
    <row r="41" spans="1:8">
      <c r="A41" s="1" t="s">
        <v>57</v>
      </c>
      <c r="B41" s="1" t="s">
        <v>58</v>
      </c>
      <c r="C41" s="27">
        <v>66.039368750000008</v>
      </c>
      <c r="D41" s="28">
        <f t="shared" si="0"/>
        <v>66039.368750000009</v>
      </c>
      <c r="E41" s="32" t="s">
        <v>51</v>
      </c>
      <c r="F41" s="49">
        <v>24.197077956596281</v>
      </c>
      <c r="G41" s="35">
        <v>-6.1227167297266902</v>
      </c>
      <c r="H41" s="101">
        <f t="shared" si="1"/>
        <v>-3.2991032996648975</v>
      </c>
    </row>
    <row r="42" spans="1:8">
      <c r="A42" s="1" t="s">
        <v>57</v>
      </c>
      <c r="B42" s="1" t="s">
        <v>58</v>
      </c>
      <c r="C42" s="27">
        <v>66.039368750000008</v>
      </c>
      <c r="D42" s="28">
        <f t="shared" si="0"/>
        <v>66039.368750000009</v>
      </c>
      <c r="E42" s="32" t="s">
        <v>51</v>
      </c>
      <c r="F42" s="49">
        <v>23.102043854699524</v>
      </c>
      <c r="G42" s="35">
        <v>-7.217750831623448</v>
      </c>
      <c r="H42" s="101">
        <f t="shared" si="1"/>
        <v>-3.940152049909238</v>
      </c>
    </row>
    <row r="43" spans="1:8">
      <c r="A43" s="1" t="s">
        <v>57</v>
      </c>
      <c r="B43" s="1" t="s">
        <v>58</v>
      </c>
      <c r="C43" s="27">
        <v>66.039468749999997</v>
      </c>
      <c r="D43" s="28">
        <f t="shared" si="0"/>
        <v>66039.46875</v>
      </c>
      <c r="E43" s="32" t="s">
        <v>51</v>
      </c>
      <c r="F43" s="49">
        <v>29.931458745043507</v>
      </c>
      <c r="G43" s="35">
        <v>-0.38833594127946469</v>
      </c>
      <c r="H43" s="101">
        <f t="shared" si="1"/>
        <v>5.7885885869921917E-2</v>
      </c>
    </row>
    <row r="44" spans="1:8">
      <c r="A44" s="1" t="s">
        <v>57</v>
      </c>
      <c r="B44" s="1" t="s">
        <v>58</v>
      </c>
      <c r="C44" s="27">
        <v>66.039568750000001</v>
      </c>
      <c r="D44" s="28">
        <f t="shared" si="0"/>
        <v>66039.568750000006</v>
      </c>
      <c r="E44" s="32" t="s">
        <v>51</v>
      </c>
      <c r="F44" s="49">
        <v>29.601488229542952</v>
      </c>
      <c r="G44" s="35">
        <v>-0.71830645678002014</v>
      </c>
      <c r="H44" s="101">
        <f t="shared" si="1"/>
        <v>-0.13528361105507436</v>
      </c>
    </row>
    <row r="45" spans="1:8">
      <c r="A45" s="1" t="s">
        <v>57</v>
      </c>
      <c r="B45" s="1" t="s">
        <v>58</v>
      </c>
      <c r="C45" s="27">
        <v>66.039668750000004</v>
      </c>
      <c r="D45" s="28">
        <f t="shared" si="0"/>
        <v>66039.668749999997</v>
      </c>
      <c r="E45" s="32" t="s">
        <v>51</v>
      </c>
      <c r="F45" s="49">
        <v>29.402722583792851</v>
      </c>
      <c r="G45" s="35">
        <v>-0.9170721025301205</v>
      </c>
      <c r="H45" s="101">
        <f t="shared" si="1"/>
        <v>-0.25164388566104678</v>
      </c>
    </row>
    <row r="46" spans="1:8">
      <c r="A46" s="1" t="s">
        <v>57</v>
      </c>
      <c r="B46" s="1" t="s">
        <v>58</v>
      </c>
      <c r="C46" s="27">
        <v>66.039868750000011</v>
      </c>
      <c r="D46" s="28">
        <f t="shared" si="0"/>
        <v>66039.868750000009</v>
      </c>
      <c r="E46" s="32" t="s">
        <v>51</v>
      </c>
      <c r="F46" s="49">
        <v>30.319794686322972</v>
      </c>
      <c r="G46" s="35">
        <v>0</v>
      </c>
      <c r="H46" s="101">
        <f t="shared" si="1"/>
        <v>0.28522334449422987</v>
      </c>
    </row>
    <row r="47" spans="1:8">
      <c r="A47" s="1" t="s">
        <v>57</v>
      </c>
      <c r="B47" s="1" t="s">
        <v>58</v>
      </c>
      <c r="C47" s="27">
        <v>66.040000000000006</v>
      </c>
      <c r="D47" s="28">
        <f t="shared" si="0"/>
        <v>66040</v>
      </c>
      <c r="E47" s="32" t="s">
        <v>51</v>
      </c>
      <c r="F47" s="49">
        <v>28.361574514510465</v>
      </c>
      <c r="G47" s="35"/>
      <c r="H47" s="101">
        <f t="shared" si="1"/>
        <v>-0.86114697554354602</v>
      </c>
    </row>
    <row r="48" spans="1:8">
      <c r="A48" s="1" t="s">
        <v>57</v>
      </c>
      <c r="B48" s="1" t="s">
        <v>58</v>
      </c>
      <c r="C48" s="27">
        <v>66.040600000000012</v>
      </c>
      <c r="D48" s="28">
        <f t="shared" si="0"/>
        <v>66040.600000000006</v>
      </c>
      <c r="E48" s="32" t="s">
        <v>51</v>
      </c>
      <c r="F48" s="49">
        <v>30.012730894172076</v>
      </c>
      <c r="G48" s="35">
        <v>-0.30706379215089541</v>
      </c>
      <c r="H48" s="101">
        <f t="shared" si="1"/>
        <v>0.10546377366199823</v>
      </c>
    </row>
    <row r="49" spans="1:8">
      <c r="A49" s="1" t="s">
        <v>57</v>
      </c>
      <c r="B49" s="1" t="s">
        <v>58</v>
      </c>
      <c r="C49" s="27">
        <v>66.044200000000004</v>
      </c>
      <c r="D49" s="28">
        <f t="shared" si="0"/>
        <v>66044.2</v>
      </c>
      <c r="E49" s="32" t="s">
        <v>51</v>
      </c>
      <c r="F49" s="49">
        <v>29.972278251818004</v>
      </c>
      <c r="G49" s="35">
        <v>-0.34751643450496772</v>
      </c>
      <c r="H49" s="101">
        <f t="shared" si="1"/>
        <v>8.1782213626341679E-2</v>
      </c>
    </row>
    <row r="50" spans="1:8">
      <c r="A50" s="1" t="s">
        <v>57</v>
      </c>
      <c r="B50" s="1" t="s">
        <v>58</v>
      </c>
      <c r="C50" s="27">
        <v>66.049000000000007</v>
      </c>
      <c r="D50" s="28">
        <f t="shared" si="0"/>
        <v>66049</v>
      </c>
      <c r="E50" s="32" t="s">
        <v>51</v>
      </c>
      <c r="F50" s="49">
        <v>30.140670076959438</v>
      </c>
      <c r="G50" s="35">
        <v>-0.17912460936353369</v>
      </c>
      <c r="H50" s="101">
        <f t="shared" si="1"/>
        <v>0.18036121575175429</v>
      </c>
    </row>
    <row r="51" spans="1:8">
      <c r="A51" s="1" t="s">
        <v>57</v>
      </c>
      <c r="B51" s="1" t="s">
        <v>58</v>
      </c>
      <c r="C51" s="27">
        <v>66.0565</v>
      </c>
      <c r="D51" s="28">
        <f t="shared" si="0"/>
        <v>66056.5</v>
      </c>
      <c r="E51" s="32" t="s">
        <v>51</v>
      </c>
      <c r="F51" s="49">
        <v>30.502661079516685</v>
      </c>
      <c r="G51" s="35">
        <v>0.1828663931937129</v>
      </c>
      <c r="H51" s="101">
        <f t="shared" si="1"/>
        <v>0.39227596743580484</v>
      </c>
    </row>
    <row r="52" spans="1:8">
      <c r="A52" s="1" t="s">
        <v>57</v>
      </c>
      <c r="B52" s="1" t="s">
        <v>58</v>
      </c>
      <c r="C52" s="27">
        <v>66.099999999999994</v>
      </c>
      <c r="D52" s="28">
        <f t="shared" si="0"/>
        <v>66100</v>
      </c>
      <c r="E52" s="32" t="s">
        <v>51</v>
      </c>
      <c r="F52" s="49">
        <v>30.969943119339263</v>
      </c>
      <c r="G52" s="35">
        <v>0.65014843301629099</v>
      </c>
      <c r="H52" s="101">
        <f t="shared" si="1"/>
        <v>0.66582961030503129</v>
      </c>
    </row>
    <row r="53" spans="1:8">
      <c r="A53" s="1" t="s">
        <v>57</v>
      </c>
      <c r="B53" s="1" t="s">
        <v>58</v>
      </c>
      <c r="C53" s="27">
        <v>66.159999999999982</v>
      </c>
      <c r="D53" s="28">
        <f t="shared" si="0"/>
        <v>66159.999999999985</v>
      </c>
      <c r="E53" s="32" t="s">
        <v>51</v>
      </c>
      <c r="F53" s="49">
        <v>30.02444004539128</v>
      </c>
      <c r="G53" s="35">
        <v>-0.29535464093169139</v>
      </c>
      <c r="H53" s="101">
        <f t="shared" si="1"/>
        <v>0.11231847959534863</v>
      </c>
    </row>
    <row r="54" spans="1:8">
      <c r="A54" s="1" t="s">
        <v>57</v>
      </c>
      <c r="B54" s="1" t="s">
        <v>58</v>
      </c>
      <c r="C54" s="27">
        <v>66.21999999999997</v>
      </c>
      <c r="D54" s="28">
        <f t="shared" si="0"/>
        <v>66219.999999999971</v>
      </c>
      <c r="E54" s="32" t="s">
        <v>51</v>
      </c>
      <c r="F54" s="49">
        <v>30.227056643229659</v>
      </c>
      <c r="G54" s="35">
        <v>-9.2738043093312683E-2</v>
      </c>
      <c r="H54" s="101">
        <f t="shared" si="1"/>
        <v>0.23093315707257922</v>
      </c>
    </row>
    <row r="55" spans="1:8">
      <c r="A55" s="1" t="s">
        <v>57</v>
      </c>
      <c r="B55" s="1" t="s">
        <v>58</v>
      </c>
      <c r="C55" s="27">
        <v>66.279999999999959</v>
      </c>
      <c r="D55" s="28">
        <f t="shared" si="0"/>
        <v>66279.999999999956</v>
      </c>
      <c r="E55" s="32" t="s">
        <v>51</v>
      </c>
      <c r="F55" s="49">
        <v>30.174863876031935</v>
      </c>
      <c r="G55" s="35">
        <v>-0.14493081029103649</v>
      </c>
      <c r="H55" s="101">
        <f t="shared" si="1"/>
        <v>0.20037875869727717</v>
      </c>
    </row>
    <row r="56" spans="1:8">
      <c r="F56" s="47">
        <f>AVERAGE(F2:F55)</f>
        <v>29.832578563281977</v>
      </c>
    </row>
    <row r="57" spans="1:8">
      <c r="F57" s="5">
        <f>STDEV(F2:F55)</f>
        <v>1.7081916183683532</v>
      </c>
    </row>
  </sheetData>
  <phoneticPr fontId="1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9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1.1640625" style="2" customWidth="1"/>
    <col min="2" max="2" width="16.83203125" style="2" customWidth="1"/>
    <col min="3" max="3" width="9.6640625" style="2" customWidth="1"/>
    <col min="4" max="4" width="11.33203125" style="51" customWidth="1"/>
    <col min="5" max="5" width="12.6640625" style="2" customWidth="1"/>
    <col min="6" max="6" width="16.83203125" style="2" customWidth="1"/>
    <col min="7" max="7" width="14.1640625" style="2" customWidth="1"/>
    <col min="8" max="8" width="16.83203125" style="101" customWidth="1"/>
    <col min="9" max="9" width="10.83203125" style="2"/>
    <col min="10" max="10" width="11.83203125" style="89" customWidth="1"/>
    <col min="11" max="11" width="13.1640625" style="2" customWidth="1"/>
    <col min="12" max="12" width="11.83203125" style="89" customWidth="1"/>
    <col min="13" max="13" width="10.83203125" style="2"/>
    <col min="14" max="14" width="15" style="89" customWidth="1"/>
    <col min="15" max="15" width="10.83203125" style="2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59</v>
      </c>
      <c r="B2" s="1" t="s">
        <v>60</v>
      </c>
      <c r="C2" s="27">
        <v>64.881432360742707</v>
      </c>
      <c r="D2" s="50">
        <f>C2*1000</f>
        <v>64881.432360742707</v>
      </c>
      <c r="E2" s="32" t="s">
        <v>51</v>
      </c>
      <c r="F2" s="49">
        <v>27.108682238178375</v>
      </c>
      <c r="G2" s="35">
        <v>0.90868223817837546</v>
      </c>
      <c r="H2" s="101">
        <f>(F2-27.21120189)/2.425647817</f>
        <v>-4.2264854404305684E-2</v>
      </c>
      <c r="I2" s="3">
        <v>0.32292612719000002</v>
      </c>
      <c r="J2" s="88">
        <v>65600</v>
      </c>
      <c r="K2" s="3">
        <v>0.21487648251700001</v>
      </c>
      <c r="L2" s="88">
        <v>65550</v>
      </c>
      <c r="M2" s="3">
        <v>0.21487648251700001</v>
      </c>
      <c r="N2" s="88">
        <v>65600</v>
      </c>
      <c r="O2" s="3">
        <v>0.33996990057499998</v>
      </c>
      <c r="P2" s="88">
        <v>65750</v>
      </c>
    </row>
    <row r="3" spans="1:16">
      <c r="A3" s="1" t="s">
        <v>59</v>
      </c>
      <c r="B3" s="1" t="s">
        <v>60</v>
      </c>
      <c r="C3" s="27">
        <v>65.274005305039793</v>
      </c>
      <c r="D3" s="50">
        <f t="shared" ref="D3:D27" si="0">C3*1000</f>
        <v>65274.005305039791</v>
      </c>
      <c r="E3" s="32" t="s">
        <v>51</v>
      </c>
      <c r="F3" s="49">
        <v>26.729203249102397</v>
      </c>
      <c r="G3" s="35">
        <v>0.52920324910239813</v>
      </c>
      <c r="H3" s="101">
        <f t="shared" ref="H3:H27" si="1">(F3-27.21120189)/2.425647817</f>
        <v>-0.19870924275137844</v>
      </c>
      <c r="I3" s="3">
        <v>0.33996990057499998</v>
      </c>
      <c r="J3" s="88">
        <v>65800</v>
      </c>
      <c r="K3" s="3">
        <v>0.65549313521100006</v>
      </c>
      <c r="L3" s="88">
        <v>65700</v>
      </c>
      <c r="M3" s="3">
        <v>0.65549313521100006</v>
      </c>
      <c r="N3" s="88">
        <v>65700</v>
      </c>
      <c r="O3" s="3">
        <v>2.6473624036099999</v>
      </c>
      <c r="P3" s="88">
        <v>66050</v>
      </c>
    </row>
    <row r="4" spans="1:16">
      <c r="A4" s="1" t="s">
        <v>59</v>
      </c>
      <c r="B4" s="1" t="s">
        <v>60</v>
      </c>
      <c r="C4" s="27">
        <v>65.470291777188322</v>
      </c>
      <c r="D4" s="50">
        <f t="shared" si="0"/>
        <v>65470.291777188322</v>
      </c>
      <c r="E4" s="32" t="s">
        <v>51</v>
      </c>
      <c r="F4" s="49">
        <v>30.465710436968259</v>
      </c>
      <c r="G4" s="35">
        <v>4.2657104369682592</v>
      </c>
      <c r="H4" s="101">
        <f t="shared" si="1"/>
        <v>1.3417069552138767</v>
      </c>
      <c r="I4" s="3">
        <v>1.3598736815000001</v>
      </c>
      <c r="J4" s="88">
        <v>66000</v>
      </c>
      <c r="K4" s="3">
        <v>2.6473624036099999</v>
      </c>
      <c r="L4" s="88">
        <v>66000</v>
      </c>
      <c r="M4" s="3">
        <v>0.70569981318099995</v>
      </c>
      <c r="N4" s="88">
        <v>66100</v>
      </c>
      <c r="O4" s="3">
        <v>0.27814611599599998</v>
      </c>
      <c r="P4" s="88">
        <v>66100</v>
      </c>
    </row>
    <row r="5" spans="1:16">
      <c r="A5" s="1" t="s">
        <v>59</v>
      </c>
      <c r="B5" s="1" t="s">
        <v>60</v>
      </c>
      <c r="C5" s="27">
        <v>65.568435013262601</v>
      </c>
      <c r="D5" s="50">
        <f t="shared" si="0"/>
        <v>65568.435013262599</v>
      </c>
      <c r="E5" s="32" t="s">
        <v>51</v>
      </c>
      <c r="F5" s="49">
        <v>24.875213689334213</v>
      </c>
      <c r="G5" s="35">
        <v>-1.324786310665786</v>
      </c>
      <c r="H5" s="101">
        <f t="shared" si="1"/>
        <v>-0.96303683671395413</v>
      </c>
      <c r="I5" s="3">
        <v>0.62791029851900004</v>
      </c>
      <c r="J5" s="88">
        <v>66200</v>
      </c>
      <c r="K5" s="3">
        <v>0.61478323646400002</v>
      </c>
      <c r="L5" s="88">
        <v>66150</v>
      </c>
      <c r="M5" s="3">
        <v>0.25154882622199998</v>
      </c>
      <c r="N5" s="88">
        <v>66200</v>
      </c>
      <c r="O5" s="3">
        <v>3.46858456993E-2</v>
      </c>
      <c r="P5" s="88">
        <v>66150</v>
      </c>
    </row>
    <row r="6" spans="1:16">
      <c r="A6" s="1" t="s">
        <v>59</v>
      </c>
      <c r="B6" s="1" t="s">
        <v>60</v>
      </c>
      <c r="C6" s="27">
        <v>65.617506631299733</v>
      </c>
      <c r="D6" s="50">
        <f t="shared" si="0"/>
        <v>65617.506631299737</v>
      </c>
      <c r="E6" s="32" t="s">
        <v>51</v>
      </c>
      <c r="F6" s="49">
        <v>25.917643030983164</v>
      </c>
      <c r="G6" s="35">
        <v>-0.28235696901683482</v>
      </c>
      <c r="H6" s="101">
        <f t="shared" si="1"/>
        <v>-0.5332838716119509</v>
      </c>
      <c r="I6" s="3">
        <v>0.14136252880799999</v>
      </c>
      <c r="J6" s="88">
        <v>66400</v>
      </c>
      <c r="K6" s="3">
        <v>0.318658964632</v>
      </c>
      <c r="L6" s="88">
        <v>66300</v>
      </c>
      <c r="M6" s="3">
        <v>0.318658964632</v>
      </c>
      <c r="N6" s="88">
        <v>66300</v>
      </c>
      <c r="O6" s="3">
        <v>0.25154882622199998</v>
      </c>
      <c r="P6" s="88">
        <v>66200</v>
      </c>
    </row>
    <row r="7" spans="1:16">
      <c r="A7" s="1" t="s">
        <v>59</v>
      </c>
      <c r="B7" s="1" t="s">
        <v>60</v>
      </c>
      <c r="C7" s="27">
        <v>65.666578249336865</v>
      </c>
      <c r="D7" s="50">
        <f t="shared" si="0"/>
        <v>65666.578249336861</v>
      </c>
      <c r="E7" s="32" t="s">
        <v>51</v>
      </c>
      <c r="F7" s="49">
        <v>24.351032919789429</v>
      </c>
      <c r="G7" s="35">
        <v>-1.8489670802105707</v>
      </c>
      <c r="H7" s="101">
        <f t="shared" si="1"/>
        <v>-1.1791361260959892</v>
      </c>
      <c r="I7" s="3">
        <v>0.89503906789900001</v>
      </c>
      <c r="J7" s="88">
        <v>66600</v>
      </c>
      <c r="K7" s="3">
        <v>2.79740911808E-2</v>
      </c>
      <c r="L7" s="88">
        <v>66450</v>
      </c>
      <c r="M7" s="3">
        <v>0.16218210548299999</v>
      </c>
      <c r="N7" s="88">
        <v>66500</v>
      </c>
    </row>
    <row r="8" spans="1:16">
      <c r="A8" s="1" t="s">
        <v>59</v>
      </c>
      <c r="B8" s="1" t="s">
        <v>60</v>
      </c>
      <c r="C8" s="27">
        <v>65.740185676392571</v>
      </c>
      <c r="D8" s="50">
        <f t="shared" si="0"/>
        <v>65740.185676392575</v>
      </c>
      <c r="E8" s="32" t="s">
        <v>51</v>
      </c>
      <c r="F8" s="49">
        <v>27.531023905263964</v>
      </c>
      <c r="G8" s="35">
        <v>1.3310239052639652</v>
      </c>
      <c r="H8" s="101">
        <f t="shared" si="1"/>
        <v>0.13185014453562069</v>
      </c>
      <c r="K8" s="3">
        <v>0.89503906789900001</v>
      </c>
      <c r="L8" s="88">
        <v>66600</v>
      </c>
      <c r="M8" s="3">
        <v>0.22417112399899999</v>
      </c>
      <c r="N8" s="88">
        <v>66700</v>
      </c>
    </row>
    <row r="9" spans="1:16">
      <c r="A9" s="1" t="s">
        <v>59</v>
      </c>
      <c r="B9" s="1" t="s">
        <v>60</v>
      </c>
      <c r="C9" s="27">
        <v>65.75</v>
      </c>
      <c r="D9" s="50">
        <f t="shared" si="0"/>
        <v>65750</v>
      </c>
      <c r="E9" s="32" t="s">
        <v>51</v>
      </c>
      <c r="F9" s="49">
        <v>25.881729410652181</v>
      </c>
      <c r="G9" s="35">
        <v>-0.3182705893478186</v>
      </c>
      <c r="H9" s="101">
        <f t="shared" si="1"/>
        <v>-0.54808965672192667</v>
      </c>
    </row>
    <row r="10" spans="1:16">
      <c r="A10" s="1" t="s">
        <v>59</v>
      </c>
      <c r="B10" s="1" t="s">
        <v>60</v>
      </c>
      <c r="C10" s="27">
        <v>66.039666666666676</v>
      </c>
      <c r="D10" s="50">
        <f t="shared" si="0"/>
        <v>66039.666666666672</v>
      </c>
      <c r="E10" s="32" t="s">
        <v>51</v>
      </c>
      <c r="F10" s="49">
        <v>31.622139701390964</v>
      </c>
      <c r="G10" s="35">
        <v>5.4221397013909645</v>
      </c>
      <c r="H10" s="101">
        <f t="shared" si="1"/>
        <v>1.8184576427283392</v>
      </c>
    </row>
    <row r="11" spans="1:16">
      <c r="A11" s="1" t="s">
        <v>59</v>
      </c>
      <c r="B11" s="1" t="s">
        <v>60</v>
      </c>
      <c r="C11" s="27">
        <v>66.065384615384616</v>
      </c>
      <c r="D11" s="50">
        <f t="shared" si="0"/>
        <v>66065.38461538461</v>
      </c>
      <c r="E11" s="32" t="s">
        <v>51</v>
      </c>
      <c r="F11" s="49">
        <v>18.779002029078818</v>
      </c>
      <c r="G11" s="35">
        <v>-7.4209979709211815</v>
      </c>
      <c r="H11" s="101">
        <f t="shared" si="1"/>
        <v>-3.4762671653422403</v>
      </c>
    </row>
    <row r="12" spans="1:16">
      <c r="A12" s="1" t="s">
        <v>59</v>
      </c>
      <c r="B12" s="1" t="s">
        <v>60</v>
      </c>
      <c r="C12" s="27">
        <v>66.086153846153849</v>
      </c>
      <c r="D12" s="50">
        <f t="shared" si="0"/>
        <v>66086.153846153844</v>
      </c>
      <c r="E12" s="32" t="s">
        <v>51</v>
      </c>
      <c r="F12" s="49">
        <v>26.512055041200021</v>
      </c>
      <c r="G12" s="35">
        <v>0.31205504120002203</v>
      </c>
      <c r="H12" s="101">
        <f t="shared" si="1"/>
        <v>-0.28823098056529628</v>
      </c>
    </row>
    <row r="13" spans="1:16">
      <c r="A13" s="1" t="s">
        <v>59</v>
      </c>
      <c r="B13" s="1" t="s">
        <v>60</v>
      </c>
      <c r="C13" s="27">
        <v>66.097692307692299</v>
      </c>
      <c r="D13" s="50">
        <f t="shared" si="0"/>
        <v>66097.692307692298</v>
      </c>
      <c r="E13" s="32" t="s">
        <v>51</v>
      </c>
      <c r="F13" s="49">
        <v>26.629108653687581</v>
      </c>
      <c r="G13" s="35">
        <v>0.42910865368758166</v>
      </c>
      <c r="H13" s="101">
        <f t="shared" si="1"/>
        <v>-0.23997434097104159</v>
      </c>
    </row>
    <row r="14" spans="1:16">
      <c r="A14" s="1" t="s">
        <v>59</v>
      </c>
      <c r="B14" s="1" t="s">
        <v>60</v>
      </c>
      <c r="C14" s="27">
        <v>66.110480349344968</v>
      </c>
      <c r="D14" s="50">
        <f t="shared" si="0"/>
        <v>66110.480349344973</v>
      </c>
      <c r="E14" s="32" t="s">
        <v>51</v>
      </c>
      <c r="F14" s="49">
        <v>27.155494303224756</v>
      </c>
      <c r="G14" s="35">
        <v>0.95549430322475715</v>
      </c>
      <c r="H14" s="101">
        <f t="shared" si="1"/>
        <v>-2.2966065553631534E-2</v>
      </c>
    </row>
    <row r="15" spans="1:16">
      <c r="A15" s="1" t="s">
        <v>59</v>
      </c>
      <c r="B15" s="1" t="s">
        <v>60</v>
      </c>
      <c r="C15" s="27">
        <v>66.123580786026196</v>
      </c>
      <c r="D15" s="50">
        <f t="shared" si="0"/>
        <v>66123.580786026199</v>
      </c>
      <c r="E15" s="32" t="s">
        <v>51</v>
      </c>
      <c r="F15" s="49">
        <v>27.631636169310305</v>
      </c>
      <c r="G15" s="35">
        <v>1.4316361693103055</v>
      </c>
      <c r="H15" s="101">
        <f t="shared" si="1"/>
        <v>0.1733286573441189</v>
      </c>
    </row>
    <row r="16" spans="1:16">
      <c r="A16" s="1" t="s">
        <v>59</v>
      </c>
      <c r="B16" s="1" t="s">
        <v>60</v>
      </c>
      <c r="C16" s="27">
        <v>66.132314410480348</v>
      </c>
      <c r="D16" s="50">
        <f t="shared" si="0"/>
        <v>66132.31441048035</v>
      </c>
      <c r="E16" s="32" t="s">
        <v>51</v>
      </c>
      <c r="F16" s="49">
        <v>28.933085948721498</v>
      </c>
      <c r="G16" s="35">
        <v>2.7330859487214987</v>
      </c>
      <c r="H16" s="101">
        <f t="shared" si="1"/>
        <v>0.70986564770606031</v>
      </c>
    </row>
    <row r="17" spans="1:8">
      <c r="A17" s="1" t="s">
        <v>59</v>
      </c>
      <c r="B17" s="1" t="s">
        <v>60</v>
      </c>
      <c r="C17" s="27">
        <v>66.14323144104803</v>
      </c>
      <c r="D17" s="50">
        <f t="shared" si="0"/>
        <v>66143.231441048032</v>
      </c>
      <c r="E17" s="32" t="s">
        <v>51</v>
      </c>
      <c r="F17" s="49">
        <v>29.101357240550961</v>
      </c>
      <c r="G17" s="35">
        <v>2.9013572405509613</v>
      </c>
      <c r="H17" s="101">
        <f t="shared" si="1"/>
        <v>0.77923733911572979</v>
      </c>
    </row>
    <row r="18" spans="1:8">
      <c r="A18" s="1" t="s">
        <v>59</v>
      </c>
      <c r="B18" s="1" t="s">
        <v>60</v>
      </c>
      <c r="C18" s="27">
        <v>66.175982532751092</v>
      </c>
      <c r="D18" s="50">
        <f t="shared" si="0"/>
        <v>66175.982532751092</v>
      </c>
      <c r="E18" s="32" t="s">
        <v>51</v>
      </c>
      <c r="F18" s="49">
        <v>26.668522751020255</v>
      </c>
      <c r="G18" s="35">
        <v>0.46852275102025587</v>
      </c>
      <c r="H18" s="101">
        <f t="shared" si="1"/>
        <v>-0.22372544570420069</v>
      </c>
    </row>
    <row r="19" spans="1:8">
      <c r="A19" s="1" t="s">
        <v>59</v>
      </c>
      <c r="B19" s="1" t="s">
        <v>60</v>
      </c>
      <c r="C19" s="27">
        <v>66.219650655021823</v>
      </c>
      <c r="D19" s="50">
        <f t="shared" si="0"/>
        <v>66219.650655021818</v>
      </c>
      <c r="E19" s="32" t="s">
        <v>51</v>
      </c>
      <c r="F19" s="49">
        <v>27.888860473602335</v>
      </c>
      <c r="G19" s="35">
        <v>1.688860473602336</v>
      </c>
      <c r="H19" s="101">
        <f t="shared" si="1"/>
        <v>0.2793722068195581</v>
      </c>
    </row>
    <row r="20" spans="1:8">
      <c r="A20" s="1" t="s">
        <v>59</v>
      </c>
      <c r="B20" s="1" t="s">
        <v>60</v>
      </c>
      <c r="C20" s="27">
        <v>66.263318777292568</v>
      </c>
      <c r="D20" s="50">
        <f t="shared" si="0"/>
        <v>66263.318777292574</v>
      </c>
      <c r="E20" s="32" t="s">
        <v>51</v>
      </c>
      <c r="F20" s="49">
        <v>28.900223014048599</v>
      </c>
      <c r="G20" s="35">
        <v>2.7002230140485999</v>
      </c>
      <c r="H20" s="101">
        <f t="shared" si="1"/>
        <v>0.69631754132285784</v>
      </c>
    </row>
    <row r="21" spans="1:8">
      <c r="A21" s="1" t="s">
        <v>59</v>
      </c>
      <c r="B21" s="1" t="s">
        <v>60</v>
      </c>
      <c r="C21" s="27">
        <v>66.306986899563313</v>
      </c>
      <c r="D21" s="50">
        <f t="shared" si="0"/>
        <v>66306.986899563315</v>
      </c>
      <c r="E21" s="32" t="s">
        <v>51</v>
      </c>
      <c r="F21" s="49">
        <v>27.354314169949134</v>
      </c>
      <c r="G21" s="35">
        <v>1.154314169949135</v>
      </c>
      <c r="H21" s="101">
        <f t="shared" si="1"/>
        <v>5.8999611957737334E-2</v>
      </c>
    </row>
    <row r="22" spans="1:8">
      <c r="A22" s="1" t="s">
        <v>59</v>
      </c>
      <c r="B22" s="1" t="s">
        <v>60</v>
      </c>
      <c r="C22" s="27">
        <v>66.394323144104803</v>
      </c>
      <c r="D22" s="50">
        <f t="shared" si="0"/>
        <v>66394.323144104797</v>
      </c>
      <c r="E22" s="32" t="s">
        <v>51</v>
      </c>
      <c r="F22" s="49">
        <v>26.804233337452409</v>
      </c>
      <c r="G22" s="35">
        <v>0.60423333745240981</v>
      </c>
      <c r="H22" s="101">
        <f t="shared" si="1"/>
        <v>-0.16777726333368723</v>
      </c>
    </row>
    <row r="23" spans="1:8">
      <c r="A23" s="1" t="s">
        <v>59</v>
      </c>
      <c r="B23" s="1" t="s">
        <v>60</v>
      </c>
      <c r="C23" s="27">
        <v>66.481659388646293</v>
      </c>
      <c r="D23" s="50">
        <f t="shared" si="0"/>
        <v>66481.659388646294</v>
      </c>
      <c r="E23" s="32" t="s">
        <v>51</v>
      </c>
      <c r="F23" s="49">
        <v>26.668522751020255</v>
      </c>
      <c r="G23" s="35">
        <v>0.46852275102025587</v>
      </c>
      <c r="H23" s="101">
        <f t="shared" si="1"/>
        <v>-0.22372544570420069</v>
      </c>
    </row>
    <row r="24" spans="1:8">
      <c r="A24" s="1" t="s">
        <v>59</v>
      </c>
      <c r="B24" s="1" t="s">
        <v>60</v>
      </c>
      <c r="C24" s="27">
        <v>66.525327510917037</v>
      </c>
      <c r="D24" s="50">
        <f t="shared" si="0"/>
        <v>66525.327510917035</v>
      </c>
      <c r="E24" s="32" t="s">
        <v>51</v>
      </c>
      <c r="F24" s="49">
        <v>25.881729410652181</v>
      </c>
      <c r="G24" s="35">
        <v>-0.3182705893478186</v>
      </c>
      <c r="H24" s="101">
        <f t="shared" si="1"/>
        <v>-0.54808965672192667</v>
      </c>
    </row>
    <row r="25" spans="1:8">
      <c r="A25" s="1" t="s">
        <v>59</v>
      </c>
      <c r="B25" s="1" t="s">
        <v>60</v>
      </c>
      <c r="C25" s="27">
        <v>66.612663755458513</v>
      </c>
      <c r="D25" s="50">
        <f t="shared" si="0"/>
        <v>66612.663755458518</v>
      </c>
      <c r="E25" s="32" t="s">
        <v>51</v>
      </c>
      <c r="F25" s="49">
        <v>28.740588563365115</v>
      </c>
      <c r="G25" s="35">
        <v>2.540588563365116</v>
      </c>
      <c r="H25" s="101">
        <f t="shared" si="1"/>
        <v>0.63050648269979803</v>
      </c>
    </row>
    <row r="26" spans="1:8">
      <c r="A26" s="1" t="s">
        <v>59</v>
      </c>
      <c r="B26" s="1" t="s">
        <v>60</v>
      </c>
      <c r="C26" s="27">
        <v>66.656331877729258</v>
      </c>
      <c r="D26" s="50">
        <f t="shared" si="0"/>
        <v>66656.331877729259</v>
      </c>
      <c r="E26" s="32" t="s">
        <v>51</v>
      </c>
      <c r="F26" s="49">
        <v>30.22382853370441</v>
      </c>
      <c r="G26" s="35">
        <v>4.0238285337044104</v>
      </c>
      <c r="H26" s="101">
        <f t="shared" si="1"/>
        <v>1.2419884793623392</v>
      </c>
    </row>
    <row r="27" spans="1:8">
      <c r="A27" s="1" t="s">
        <v>59</v>
      </c>
      <c r="B27" s="1" t="s">
        <v>60</v>
      </c>
      <c r="C27" s="27">
        <v>66.743668122270748</v>
      </c>
      <c r="D27" s="50">
        <f t="shared" si="0"/>
        <v>66743.668122270741</v>
      </c>
      <c r="E27" s="32" t="s">
        <v>51</v>
      </c>
      <c r="F27" s="49">
        <v>29.13630813840749</v>
      </c>
      <c r="G27" s="35">
        <v>2.9363081384074903</v>
      </c>
      <c r="H27" s="101">
        <f t="shared" si="1"/>
        <v>0.7936462312935546</v>
      </c>
    </row>
    <row r="28" spans="1:8">
      <c r="F28" s="47">
        <f>AVERAGE(F2:F27)</f>
        <v>27.211201888871496</v>
      </c>
    </row>
    <row r="29" spans="1:8">
      <c r="F29" s="5">
        <f>STDEV(F2:F27)</f>
        <v>2.4256478173870804</v>
      </c>
    </row>
  </sheetData>
  <phoneticPr fontId="1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5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0" style="2" customWidth="1"/>
    <col min="2" max="2" width="11.1640625" style="2" customWidth="1"/>
    <col min="3" max="3" width="9.6640625" style="2" customWidth="1"/>
    <col min="4" max="4" width="9.6640625" style="45" customWidth="1"/>
    <col min="5" max="5" width="18.5" style="2" customWidth="1"/>
    <col min="6" max="6" width="16.83203125" style="2" customWidth="1"/>
    <col min="7" max="7" width="14.16406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 ht="17">
      <c r="A2" s="41" t="s">
        <v>61</v>
      </c>
      <c r="B2" s="41" t="s">
        <v>62</v>
      </c>
      <c r="C2" s="61">
        <v>63.125</v>
      </c>
      <c r="D2" s="62">
        <f>C2*1000</f>
        <v>63125</v>
      </c>
      <c r="E2" s="61" t="s">
        <v>63</v>
      </c>
      <c r="F2" s="63">
        <v>17.100000000000001</v>
      </c>
      <c r="G2" s="41">
        <v>-0.1</v>
      </c>
      <c r="H2" s="101">
        <f>(F2-17.59090909)/1.041477472</f>
        <v>-0.47135833774424535</v>
      </c>
      <c r="I2" s="3">
        <v>0.52809591641599996</v>
      </c>
      <c r="J2" s="88">
        <v>63200</v>
      </c>
      <c r="K2" s="3">
        <v>9.6017439348299996E-2</v>
      </c>
      <c r="L2" s="88">
        <v>66000</v>
      </c>
      <c r="M2" s="3">
        <v>9.6017439348299996E-2</v>
      </c>
      <c r="N2" s="88">
        <v>66000</v>
      </c>
      <c r="O2" s="3">
        <v>1.10420055251</v>
      </c>
      <c r="P2" s="88">
        <v>66150</v>
      </c>
    </row>
    <row r="3" spans="1:16" ht="17">
      <c r="A3" s="41" t="s">
        <v>61</v>
      </c>
      <c r="B3" s="41" t="s">
        <v>62</v>
      </c>
      <c r="C3" s="61">
        <v>63.164999999999999</v>
      </c>
      <c r="D3" s="62">
        <f t="shared" ref="D3:D23" si="0">C3*1000</f>
        <v>63165</v>
      </c>
      <c r="E3" s="61" t="s">
        <v>63</v>
      </c>
      <c r="F3" s="63">
        <v>16</v>
      </c>
      <c r="G3" s="41">
        <v>-1.2</v>
      </c>
      <c r="H3" s="101">
        <f t="shared" ref="H3:H23" si="1">(F3-17.59090909)/1.041477472</f>
        <v>-1.5275501705715246</v>
      </c>
      <c r="I3" s="3">
        <v>0.28805231804499998</v>
      </c>
      <c r="J3" s="88">
        <v>63400</v>
      </c>
      <c r="K3" s="3">
        <v>1.10420055251</v>
      </c>
      <c r="L3" s="88">
        <v>66150</v>
      </c>
      <c r="M3" s="3">
        <v>0.48008719674099998</v>
      </c>
      <c r="N3" s="88">
        <v>66200</v>
      </c>
      <c r="O3" s="3">
        <v>9.6017439348299996E-2</v>
      </c>
      <c r="P3" s="88">
        <v>66250</v>
      </c>
    </row>
    <row r="4" spans="1:16" ht="17">
      <c r="A4" s="41" t="s">
        <v>61</v>
      </c>
      <c r="B4" s="41" t="s">
        <v>62</v>
      </c>
      <c r="C4" s="61">
        <v>63.284999999999997</v>
      </c>
      <c r="D4" s="62">
        <f t="shared" si="0"/>
        <v>63285</v>
      </c>
      <c r="E4" s="61" t="s">
        <v>63</v>
      </c>
      <c r="F4" s="63">
        <v>17.100000000000001</v>
      </c>
      <c r="G4" s="41">
        <v>-0.1</v>
      </c>
      <c r="H4" s="101">
        <f t="shared" si="1"/>
        <v>-0.47135833774424535</v>
      </c>
      <c r="I4" s="3">
        <v>9.6017439348299996E-2</v>
      </c>
      <c r="J4" s="88">
        <v>66000</v>
      </c>
      <c r="K4" s="3">
        <v>1.44026159022</v>
      </c>
      <c r="L4" s="88">
        <v>66300</v>
      </c>
      <c r="M4" s="3">
        <v>0.48008719674099998</v>
      </c>
      <c r="N4" s="88">
        <v>66300</v>
      </c>
      <c r="O4" s="3">
        <v>0.144026159022</v>
      </c>
      <c r="P4" s="88">
        <v>66300</v>
      </c>
    </row>
    <row r="5" spans="1:16" ht="17">
      <c r="A5" s="41" t="s">
        <v>61</v>
      </c>
      <c r="B5" s="41" t="s">
        <v>62</v>
      </c>
      <c r="C5" s="61">
        <v>63.325000000000003</v>
      </c>
      <c r="D5" s="62">
        <f t="shared" si="0"/>
        <v>63325</v>
      </c>
      <c r="E5" s="61" t="s">
        <v>63</v>
      </c>
      <c r="F5" s="63">
        <v>16.600000000000001</v>
      </c>
      <c r="G5" s="41">
        <v>-0.6</v>
      </c>
      <c r="H5" s="101">
        <f t="shared" si="1"/>
        <v>-0.95144553448391711</v>
      </c>
      <c r="I5" s="3">
        <v>0.67212207543799996</v>
      </c>
      <c r="J5" s="88">
        <v>66200</v>
      </c>
      <c r="K5" s="3">
        <v>0.43207847706699998</v>
      </c>
      <c r="L5" s="88">
        <v>66450</v>
      </c>
      <c r="M5" s="3">
        <v>0.67212207543799996</v>
      </c>
      <c r="N5" s="88">
        <v>66400</v>
      </c>
      <c r="O5" s="3">
        <v>1.34424415088</v>
      </c>
      <c r="P5" s="88">
        <v>66350</v>
      </c>
    </row>
    <row r="6" spans="1:16" ht="17">
      <c r="A6" s="41" t="s">
        <v>61</v>
      </c>
      <c r="B6" s="41" t="s">
        <v>62</v>
      </c>
      <c r="C6" s="61">
        <v>63.35</v>
      </c>
      <c r="D6" s="62">
        <f t="shared" si="0"/>
        <v>63350</v>
      </c>
      <c r="E6" s="61" t="s">
        <v>63</v>
      </c>
      <c r="F6" s="63">
        <v>16.8</v>
      </c>
      <c r="G6" s="41">
        <v>-0.4</v>
      </c>
      <c r="H6" s="101">
        <f t="shared" si="1"/>
        <v>-0.75941065578804912</v>
      </c>
      <c r="I6" s="3">
        <v>1.8723400672899999</v>
      </c>
      <c r="J6" s="88">
        <v>66400</v>
      </c>
      <c r="O6" s="3">
        <v>0.43207847706699998</v>
      </c>
      <c r="P6" s="88">
        <v>66400</v>
      </c>
    </row>
    <row r="7" spans="1:16" ht="17">
      <c r="A7" s="41" t="s">
        <v>61</v>
      </c>
      <c r="B7" s="41" t="s">
        <v>62</v>
      </c>
      <c r="C7" s="61">
        <v>63.37</v>
      </c>
      <c r="D7" s="62">
        <f t="shared" si="0"/>
        <v>63370</v>
      </c>
      <c r="E7" s="61" t="s">
        <v>63</v>
      </c>
      <c r="F7" s="63">
        <v>17.100000000000001</v>
      </c>
      <c r="G7" s="41">
        <v>-0.1</v>
      </c>
      <c r="H7" s="101">
        <f t="shared" si="1"/>
        <v>-0.47135833774424535</v>
      </c>
    </row>
    <row r="8" spans="1:16" ht="17">
      <c r="A8" s="41" t="s">
        <v>61</v>
      </c>
      <c r="B8" s="41" t="s">
        <v>62</v>
      </c>
      <c r="C8" s="61">
        <v>63.38</v>
      </c>
      <c r="D8" s="62">
        <f t="shared" si="0"/>
        <v>63380</v>
      </c>
      <c r="E8" s="61" t="s">
        <v>63</v>
      </c>
      <c r="F8" s="63">
        <v>16.8</v>
      </c>
      <c r="G8" s="41">
        <v>-0.4</v>
      </c>
      <c r="H8" s="101">
        <f t="shared" si="1"/>
        <v>-0.75941065578804912</v>
      </c>
    </row>
    <row r="9" spans="1:16" ht="17">
      <c r="A9" s="41" t="s">
        <v>61</v>
      </c>
      <c r="B9" s="41" t="s">
        <v>62</v>
      </c>
      <c r="C9" s="64">
        <v>63.4</v>
      </c>
      <c r="D9" s="62">
        <f t="shared" si="0"/>
        <v>63400</v>
      </c>
      <c r="E9" s="61" t="s">
        <v>63</v>
      </c>
      <c r="F9" s="63">
        <v>17.100000000000001</v>
      </c>
      <c r="G9" s="41">
        <v>-0.1</v>
      </c>
      <c r="H9" s="101">
        <f t="shared" si="1"/>
        <v>-0.47135833774424535</v>
      </c>
    </row>
    <row r="10" spans="1:16" ht="17">
      <c r="A10" s="41" t="s">
        <v>61</v>
      </c>
      <c r="B10" s="41" t="s">
        <v>62</v>
      </c>
      <c r="C10" s="61">
        <v>65.968999999999994</v>
      </c>
      <c r="D10" s="62">
        <f t="shared" si="0"/>
        <v>65969</v>
      </c>
      <c r="E10" s="61" t="s">
        <v>63</v>
      </c>
      <c r="F10" s="63">
        <v>17.399999999999999</v>
      </c>
      <c r="G10" s="41">
        <v>0.2</v>
      </c>
      <c r="H10" s="101">
        <f t="shared" si="1"/>
        <v>-0.18330601970044502</v>
      </c>
    </row>
    <row r="11" spans="1:16" ht="17">
      <c r="A11" s="41" t="s">
        <v>61</v>
      </c>
      <c r="B11" s="41" t="s">
        <v>62</v>
      </c>
      <c r="C11" s="64">
        <v>66</v>
      </c>
      <c r="D11" s="62">
        <f t="shared" si="0"/>
        <v>66000</v>
      </c>
      <c r="E11" s="61" t="s">
        <v>63</v>
      </c>
      <c r="F11" s="63">
        <v>17.399999999999999</v>
      </c>
      <c r="G11" s="41">
        <v>0.2</v>
      </c>
      <c r="H11" s="101">
        <f t="shared" si="1"/>
        <v>-0.18330601970044502</v>
      </c>
    </row>
    <row r="12" spans="1:16" ht="17">
      <c r="A12" s="41" t="s">
        <v>61</v>
      </c>
      <c r="B12" s="41" t="s">
        <v>62</v>
      </c>
      <c r="C12" s="61">
        <v>66.040000000000006</v>
      </c>
      <c r="D12" s="62">
        <f t="shared" si="0"/>
        <v>66040</v>
      </c>
      <c r="E12" s="61" t="s">
        <v>63</v>
      </c>
      <c r="F12" s="63">
        <v>17.2</v>
      </c>
      <c r="G12" s="41">
        <v>0</v>
      </c>
      <c r="H12" s="101">
        <f t="shared" si="1"/>
        <v>-0.37534089839631307</v>
      </c>
    </row>
    <row r="13" spans="1:16" ht="17">
      <c r="A13" s="41" t="s">
        <v>61</v>
      </c>
      <c r="B13" s="41" t="s">
        <v>62</v>
      </c>
      <c r="C13" s="61">
        <v>66.144999999999996</v>
      </c>
      <c r="D13" s="62">
        <f t="shared" si="0"/>
        <v>66145</v>
      </c>
      <c r="E13" s="61" t="s">
        <v>63</v>
      </c>
      <c r="F13" s="63">
        <v>17.3</v>
      </c>
      <c r="G13" s="41">
        <v>0.1</v>
      </c>
      <c r="H13" s="101">
        <f t="shared" si="1"/>
        <v>-0.27932345904837735</v>
      </c>
    </row>
    <row r="14" spans="1:16" ht="17">
      <c r="A14" s="41" t="s">
        <v>61</v>
      </c>
      <c r="B14" s="41" t="s">
        <v>62</v>
      </c>
      <c r="C14" s="61">
        <v>66.165000000000006</v>
      </c>
      <c r="D14" s="62">
        <f t="shared" si="0"/>
        <v>66165</v>
      </c>
      <c r="E14" s="61" t="s">
        <v>63</v>
      </c>
      <c r="F14" s="63">
        <v>19.600000000000001</v>
      </c>
      <c r="G14" s="41">
        <v>2.4</v>
      </c>
      <c r="H14" s="101">
        <f t="shared" si="1"/>
        <v>1.9290776459541137</v>
      </c>
    </row>
    <row r="15" spans="1:16" ht="17">
      <c r="A15" s="41" t="s">
        <v>61</v>
      </c>
      <c r="B15" s="41" t="s">
        <v>62</v>
      </c>
      <c r="C15" s="61">
        <v>66.245000000000005</v>
      </c>
      <c r="D15" s="62">
        <f t="shared" si="0"/>
        <v>66245</v>
      </c>
      <c r="E15" s="61" t="s">
        <v>63</v>
      </c>
      <c r="F15" s="63">
        <v>18.600000000000001</v>
      </c>
      <c r="G15" s="41">
        <v>1.4</v>
      </c>
      <c r="H15" s="101">
        <f t="shared" si="1"/>
        <v>0.96890325247477005</v>
      </c>
    </row>
    <row r="16" spans="1:16" ht="17">
      <c r="A16" s="41" t="s">
        <v>61</v>
      </c>
      <c r="B16" s="41" t="s">
        <v>62</v>
      </c>
      <c r="C16" s="64">
        <v>66.265000000000001</v>
      </c>
      <c r="D16" s="62">
        <f t="shared" si="0"/>
        <v>66265</v>
      </c>
      <c r="E16" s="61" t="s">
        <v>63</v>
      </c>
      <c r="F16" s="63">
        <v>18.8</v>
      </c>
      <c r="G16" s="41">
        <v>1.6</v>
      </c>
      <c r="H16" s="101">
        <f t="shared" si="1"/>
        <v>1.1609381311706379</v>
      </c>
    </row>
    <row r="17" spans="1:8" ht="17">
      <c r="A17" s="41" t="s">
        <v>61</v>
      </c>
      <c r="B17" s="41" t="s">
        <v>62</v>
      </c>
      <c r="C17" s="64">
        <v>66.292000000000002</v>
      </c>
      <c r="D17" s="62">
        <f t="shared" si="0"/>
        <v>66292</v>
      </c>
      <c r="E17" s="61" t="s">
        <v>63</v>
      </c>
      <c r="F17" s="63">
        <v>19.3</v>
      </c>
      <c r="G17" s="41">
        <v>2.1</v>
      </c>
      <c r="H17" s="101">
        <f t="shared" si="1"/>
        <v>1.6410253279103098</v>
      </c>
    </row>
    <row r="18" spans="1:8" ht="17">
      <c r="A18" s="41" t="s">
        <v>61</v>
      </c>
      <c r="B18" s="41" t="s">
        <v>62</v>
      </c>
      <c r="C18" s="61">
        <v>66.316999999999993</v>
      </c>
      <c r="D18" s="62">
        <f t="shared" si="0"/>
        <v>66317</v>
      </c>
      <c r="E18" s="61" t="s">
        <v>63</v>
      </c>
      <c r="F18" s="63">
        <v>19</v>
      </c>
      <c r="G18" s="41">
        <v>1.8</v>
      </c>
      <c r="H18" s="101">
        <f t="shared" si="1"/>
        <v>1.352973009866506</v>
      </c>
    </row>
    <row r="19" spans="1:8" ht="17">
      <c r="A19" s="41" t="s">
        <v>61</v>
      </c>
      <c r="B19" s="41" t="s">
        <v>62</v>
      </c>
      <c r="C19" s="61">
        <v>66.325000000000003</v>
      </c>
      <c r="D19" s="62">
        <f t="shared" si="0"/>
        <v>66325</v>
      </c>
      <c r="E19" s="61" t="s">
        <v>63</v>
      </c>
      <c r="F19" s="63">
        <v>19.3</v>
      </c>
      <c r="G19" s="41">
        <v>2.1</v>
      </c>
      <c r="H19" s="101">
        <f t="shared" si="1"/>
        <v>1.6410253279103098</v>
      </c>
    </row>
    <row r="20" spans="1:8" ht="17">
      <c r="A20" s="41" t="s">
        <v>61</v>
      </c>
      <c r="B20" s="41" t="s">
        <v>62</v>
      </c>
      <c r="C20" s="61">
        <v>66.344999999999999</v>
      </c>
      <c r="D20" s="62">
        <f t="shared" si="0"/>
        <v>66345</v>
      </c>
      <c r="E20" s="61" t="s">
        <v>63</v>
      </c>
      <c r="F20" s="63">
        <v>16.5</v>
      </c>
      <c r="G20" s="41">
        <v>-0.7</v>
      </c>
      <c r="H20" s="101">
        <f t="shared" si="1"/>
        <v>-1.0474629738318528</v>
      </c>
    </row>
    <row r="21" spans="1:8" ht="17">
      <c r="A21" s="41" t="s">
        <v>61</v>
      </c>
      <c r="B21" s="41" t="s">
        <v>62</v>
      </c>
      <c r="C21" s="61">
        <v>66.364999999999995</v>
      </c>
      <c r="D21" s="62">
        <f t="shared" si="0"/>
        <v>66365</v>
      </c>
      <c r="E21" s="61" t="s">
        <v>63</v>
      </c>
      <c r="F21" s="63">
        <v>16.7</v>
      </c>
      <c r="G21" s="41">
        <v>-0.5</v>
      </c>
      <c r="H21" s="101">
        <f t="shared" si="1"/>
        <v>-0.85542809513598483</v>
      </c>
    </row>
    <row r="22" spans="1:8" ht="17">
      <c r="A22" s="41" t="s">
        <v>61</v>
      </c>
      <c r="B22" s="41" t="s">
        <v>62</v>
      </c>
      <c r="C22" s="61">
        <v>66.38</v>
      </c>
      <c r="D22" s="62">
        <f t="shared" si="0"/>
        <v>66380</v>
      </c>
      <c r="E22" s="61" t="s">
        <v>63</v>
      </c>
      <c r="F22" s="63">
        <v>18.100000000000001</v>
      </c>
      <c r="G22" s="41">
        <v>0.9</v>
      </c>
      <c r="H22" s="101">
        <f t="shared" si="1"/>
        <v>0.48881605573509823</v>
      </c>
    </row>
    <row r="23" spans="1:8" ht="17">
      <c r="A23" s="41" t="s">
        <v>61</v>
      </c>
      <c r="B23" s="41" t="s">
        <v>62</v>
      </c>
      <c r="C23" s="64">
        <v>66.400000000000006</v>
      </c>
      <c r="D23" s="62">
        <f t="shared" si="0"/>
        <v>66400</v>
      </c>
      <c r="E23" s="61" t="s">
        <v>63</v>
      </c>
      <c r="F23" s="63">
        <v>17.2</v>
      </c>
      <c r="G23" s="41">
        <v>0</v>
      </c>
      <c r="H23" s="101">
        <f t="shared" si="1"/>
        <v>-0.37534089839631307</v>
      </c>
    </row>
    <row r="24" spans="1:8">
      <c r="F24" s="5">
        <f>AVERAGE(F2:F23)</f>
        <v>17.590909090909093</v>
      </c>
    </row>
    <row r="25" spans="1:8">
      <c r="F25" s="5">
        <f>STDEV(F2:F23)</f>
        <v>1.04147747199607</v>
      </c>
    </row>
  </sheetData>
  <phoneticPr fontId="1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7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17" style="2" customWidth="1"/>
    <col min="2" max="2" width="14.5" style="2" customWidth="1"/>
    <col min="3" max="4" width="9.6640625" style="2" customWidth="1"/>
    <col min="5" max="5" width="11.83203125" style="2" customWidth="1"/>
    <col min="6" max="6" width="16.83203125" style="2" customWidth="1"/>
    <col min="7" max="7" width="7" style="2" customWidth="1"/>
    <col min="8" max="8" width="14.1640625" style="2" customWidth="1"/>
    <col min="9" max="9" width="16.83203125" style="101" customWidth="1"/>
    <col min="10" max="10" width="13" style="2" customWidth="1"/>
    <col min="11" max="11" width="11.83203125" style="89" customWidth="1"/>
    <col min="12" max="12" width="13" style="2" customWidth="1"/>
    <col min="13" max="13" width="11.83203125" style="89" customWidth="1"/>
    <col min="14" max="14" width="10.83203125" style="2"/>
    <col min="15" max="15" width="15" style="89" customWidth="1"/>
    <col min="16" max="16" width="10.83203125" style="2"/>
    <col min="17" max="17" width="14" style="89" customWidth="1"/>
    <col min="18" max="16384" width="10.83203125" style="2"/>
  </cols>
  <sheetData>
    <row r="1" spans="1:17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65" t="s">
        <v>64</v>
      </c>
      <c r="G1" s="8" t="s">
        <v>65</v>
      </c>
      <c r="H1" s="8" t="s">
        <v>23</v>
      </c>
      <c r="I1" s="100" t="s">
        <v>17</v>
      </c>
      <c r="J1" s="8" t="s">
        <v>10</v>
      </c>
      <c r="K1" s="87" t="s">
        <v>11</v>
      </c>
      <c r="L1" s="8" t="s">
        <v>10</v>
      </c>
      <c r="M1" s="87" t="s">
        <v>14</v>
      </c>
      <c r="N1" s="8" t="s">
        <v>10</v>
      </c>
      <c r="O1" s="87" t="s">
        <v>15</v>
      </c>
      <c r="P1" s="8" t="s">
        <v>10</v>
      </c>
      <c r="Q1" s="87" t="s">
        <v>16</v>
      </c>
    </row>
    <row r="2" spans="1:17" ht="17">
      <c r="A2" s="1" t="s">
        <v>66</v>
      </c>
      <c r="B2" s="5" t="s">
        <v>67</v>
      </c>
      <c r="C2" s="66">
        <v>65.28626865671643</v>
      </c>
      <c r="D2" s="67">
        <f>C2*1000</f>
        <v>65286.268656716427</v>
      </c>
      <c r="E2" s="66" t="s">
        <v>68</v>
      </c>
      <c r="F2" s="49">
        <v>9.8464705882352934</v>
      </c>
      <c r="G2" s="35">
        <v>3.4693661430678659</v>
      </c>
      <c r="H2" s="35">
        <v>-5.2384372741725684</v>
      </c>
      <c r="I2" s="101">
        <f>(F2-13.69205871)/3.284921975</f>
        <v>-1.1706786800513598</v>
      </c>
      <c r="J2" s="3">
        <v>0.58003277479299997</v>
      </c>
      <c r="K2" s="88">
        <v>66000</v>
      </c>
      <c r="L2" s="3">
        <v>0.19975895094500001</v>
      </c>
      <c r="M2" s="88">
        <v>66150</v>
      </c>
      <c r="N2" s="3">
        <v>0.39951790189000003</v>
      </c>
      <c r="O2" s="88">
        <v>66100</v>
      </c>
      <c r="P2" s="3">
        <v>0.39951790189000003</v>
      </c>
      <c r="Q2" s="88">
        <v>66100</v>
      </c>
    </row>
    <row r="3" spans="1:17" ht="17">
      <c r="A3" s="1" t="s">
        <v>66</v>
      </c>
      <c r="B3" s="5" t="s">
        <v>67</v>
      </c>
      <c r="C3" s="66">
        <v>66.03253731343284</v>
      </c>
      <c r="D3" s="67">
        <f t="shared" ref="D3:D15" si="0">C3*1000</f>
        <v>66032.53731343284</v>
      </c>
      <c r="E3" s="66" t="s">
        <v>68</v>
      </c>
      <c r="F3" s="49">
        <v>13.179545454545455</v>
      </c>
      <c r="G3" s="35">
        <v>3.4164604894690789</v>
      </c>
      <c r="H3" s="35">
        <v>-1.9053624078624072</v>
      </c>
      <c r="I3" s="101">
        <f t="shared" ref="I3:I15" si="1">(F3-13.69205871)/3.284921975</f>
        <v>-0.15601991747598354</v>
      </c>
      <c r="J3" s="3">
        <v>0.44125857820699999</v>
      </c>
      <c r="K3" s="88">
        <v>66200</v>
      </c>
      <c r="L3" s="3">
        <v>0.85185053707900005</v>
      </c>
      <c r="M3" s="88">
        <v>66300</v>
      </c>
      <c r="N3" s="3">
        <v>0</v>
      </c>
      <c r="O3" s="88">
        <v>66200</v>
      </c>
      <c r="P3" s="3">
        <v>0.24579390298000001</v>
      </c>
      <c r="Q3" s="88">
        <v>66550</v>
      </c>
    </row>
    <row r="4" spans="1:17" ht="17">
      <c r="A4" s="1" t="s">
        <v>66</v>
      </c>
      <c r="B4" s="5" t="s">
        <v>67</v>
      </c>
      <c r="C4" s="66">
        <v>66.092238805970155</v>
      </c>
      <c r="D4" s="67">
        <f t="shared" si="0"/>
        <v>66092.238805970148</v>
      </c>
      <c r="E4" s="66" t="s">
        <v>68</v>
      </c>
      <c r="F4" s="49">
        <v>16.990270270270269</v>
      </c>
      <c r="G4" s="35">
        <v>2.8747000156440445</v>
      </c>
      <c r="H4" s="35">
        <v>1.9053624078624072</v>
      </c>
      <c r="I4" s="101">
        <f t="shared" si="1"/>
        <v>1.0040456319423749</v>
      </c>
      <c r="J4" s="3">
        <v>0.89555928187800005</v>
      </c>
      <c r="K4" s="88">
        <v>66600</v>
      </c>
      <c r="L4" s="3">
        <v>0.89555928187800005</v>
      </c>
      <c r="M4" s="88">
        <v>66600</v>
      </c>
      <c r="N4" s="3">
        <v>0.85185053707900005</v>
      </c>
      <c r="O4" s="88">
        <v>66300</v>
      </c>
    </row>
    <row r="5" spans="1:17" ht="17">
      <c r="A5" s="1" t="s">
        <v>66</v>
      </c>
      <c r="B5" s="5" t="s">
        <v>67</v>
      </c>
      <c r="C5" s="66">
        <v>66.107164179104487</v>
      </c>
      <c r="D5" s="67">
        <f t="shared" si="0"/>
        <v>66107.164179104482</v>
      </c>
      <c r="E5" s="66" t="s">
        <v>68</v>
      </c>
      <c r="F5" s="49">
        <v>14.365499999999999</v>
      </c>
      <c r="G5" s="35">
        <v>3.5976880541232137</v>
      </c>
      <c r="H5" s="35">
        <v>-0.71940786240786281</v>
      </c>
      <c r="I5" s="101">
        <f t="shared" si="1"/>
        <v>0.20500982827758019</v>
      </c>
      <c r="N5">
        <v>0.64976537889800001</v>
      </c>
      <c r="O5">
        <v>66600</v>
      </c>
    </row>
    <row r="6" spans="1:17" ht="17">
      <c r="A6" s="1" t="s">
        <v>66</v>
      </c>
      <c r="B6" s="5" t="s">
        <v>67</v>
      </c>
      <c r="C6" s="66">
        <v>66.166865671641801</v>
      </c>
      <c r="D6" s="67">
        <f t="shared" si="0"/>
        <v>66166.865671641805</v>
      </c>
      <c r="E6" s="66" t="s">
        <v>68</v>
      </c>
      <c r="F6" s="49">
        <v>15.815</v>
      </c>
      <c r="G6" s="35">
        <v>3.6193988877643752</v>
      </c>
      <c r="H6" s="35">
        <v>0.73009213759213765</v>
      </c>
      <c r="I6" s="101">
        <f t="shared" si="1"/>
        <v>0.64626840642082528</v>
      </c>
    </row>
    <row r="7" spans="1:17" ht="17">
      <c r="A7" s="1" t="s">
        <v>66</v>
      </c>
      <c r="B7" s="5" t="s">
        <v>67</v>
      </c>
      <c r="C7" s="66">
        <v>66.196716417910451</v>
      </c>
      <c r="D7" s="67">
        <f t="shared" si="0"/>
        <v>66196.716417910458</v>
      </c>
      <c r="E7" s="66" t="s">
        <v>68</v>
      </c>
      <c r="F7" s="49">
        <v>15.815</v>
      </c>
      <c r="G7" s="35">
        <v>3.6193988877643752</v>
      </c>
      <c r="H7" s="35">
        <v>0.73009213759213765</v>
      </c>
      <c r="I7" s="101">
        <f t="shared" si="1"/>
        <v>0.64626840642082528</v>
      </c>
    </row>
    <row r="8" spans="1:17" ht="17">
      <c r="A8" s="1" t="s">
        <v>66</v>
      </c>
      <c r="B8" s="5" t="s">
        <v>67</v>
      </c>
      <c r="C8" s="66">
        <v>66.256417910447766</v>
      </c>
      <c r="D8" s="67">
        <f t="shared" si="0"/>
        <v>66256.417910447766</v>
      </c>
      <c r="E8" s="66" t="s">
        <v>68</v>
      </c>
      <c r="F8" s="49">
        <v>19.340810810810808</v>
      </c>
      <c r="G8" s="35">
        <v>2.2486232473876258</v>
      </c>
      <c r="H8" s="35">
        <v>4.2559029484029463</v>
      </c>
      <c r="I8" s="101">
        <f t="shared" si="1"/>
        <v>1.7196000829854745</v>
      </c>
    </row>
    <row r="9" spans="1:17" ht="17">
      <c r="A9" s="1" t="s">
        <v>66</v>
      </c>
      <c r="B9" s="5" t="s">
        <v>67</v>
      </c>
      <c r="C9" s="66">
        <v>66.28626865671643</v>
      </c>
      <c r="D9" s="67">
        <f t="shared" si="0"/>
        <v>66286.268656716435</v>
      </c>
      <c r="E9" s="66" t="s">
        <v>68</v>
      </c>
      <c r="F9" s="49">
        <v>13.744285714285713</v>
      </c>
      <c r="G9" s="35">
        <v>3.506711522651941</v>
      </c>
      <c r="H9" s="35">
        <v>-1.340622148122149</v>
      </c>
      <c r="I9" s="101">
        <f t="shared" si="1"/>
        <v>1.5899009073332211E-2</v>
      </c>
    </row>
    <row r="10" spans="1:17" ht="17">
      <c r="A10" s="1" t="s">
        <v>66</v>
      </c>
      <c r="B10" s="5" t="s">
        <v>67</v>
      </c>
      <c r="C10" s="66">
        <v>66.540000000000006</v>
      </c>
      <c r="D10" s="67">
        <f t="shared" si="0"/>
        <v>66540</v>
      </c>
      <c r="E10" s="66" t="s">
        <v>68</v>
      </c>
      <c r="F10" s="49">
        <v>16.314827586206896</v>
      </c>
      <c r="G10" s="35">
        <v>3.1412256564067609</v>
      </c>
      <c r="H10" s="35">
        <v>1.2299197237990338</v>
      </c>
      <c r="I10" s="101">
        <f t="shared" si="1"/>
        <v>0.79842653681504749</v>
      </c>
    </row>
    <row r="11" spans="1:17" ht="17">
      <c r="A11" s="1" t="s">
        <v>66</v>
      </c>
      <c r="B11" s="5" t="s">
        <v>67</v>
      </c>
      <c r="C11" s="66">
        <v>66.554925373134338</v>
      </c>
      <c r="D11" s="67">
        <f t="shared" si="0"/>
        <v>66554.925373134334</v>
      </c>
      <c r="E11" s="66" t="s">
        <v>68</v>
      </c>
      <c r="F11" s="49">
        <v>14.7</v>
      </c>
      <c r="G11" s="35">
        <v>3.2601334782272313</v>
      </c>
      <c r="H11" s="35">
        <v>-0.38490786240786257</v>
      </c>
      <c r="I11" s="101">
        <f t="shared" si="1"/>
        <v>0.30683873092602137</v>
      </c>
    </row>
    <row r="12" spans="1:17" ht="17">
      <c r="A12" s="1" t="s">
        <v>66</v>
      </c>
      <c r="B12" s="5" t="s">
        <v>67</v>
      </c>
      <c r="C12" s="66">
        <v>66.584776119402989</v>
      </c>
      <c r="D12" s="67">
        <f t="shared" si="0"/>
        <v>66584.776119402988</v>
      </c>
      <c r="E12" s="66" t="s">
        <v>68</v>
      </c>
      <c r="F12" s="49">
        <v>10.431142857142857</v>
      </c>
      <c r="G12" s="35">
        <v>2.6733044246847344</v>
      </c>
      <c r="H12" s="35">
        <v>-4.6537650052650044</v>
      </c>
      <c r="I12" s="101">
        <f t="shared" si="1"/>
        <v>-0.99269202668265566</v>
      </c>
    </row>
    <row r="13" spans="1:17" ht="17">
      <c r="A13" s="1" t="s">
        <v>66</v>
      </c>
      <c r="B13" s="5" t="s">
        <v>67</v>
      </c>
      <c r="C13" s="66">
        <v>66.883283582089561</v>
      </c>
      <c r="D13" s="67">
        <f t="shared" si="0"/>
        <v>66883.283582089556</v>
      </c>
      <c r="E13" s="66" t="s">
        <v>68</v>
      </c>
      <c r="F13" s="49">
        <v>6.5909090909090908</v>
      </c>
      <c r="G13" s="35">
        <v>1.945897354731513</v>
      </c>
      <c r="H13" s="35">
        <v>-8.4939987714987701</v>
      </c>
      <c r="I13" s="101">
        <f t="shared" si="1"/>
        <v>-2.1617407272180058</v>
      </c>
    </row>
    <row r="14" spans="1:17" ht="17">
      <c r="A14" s="1" t="s">
        <v>66</v>
      </c>
      <c r="B14" s="5" t="s">
        <v>67</v>
      </c>
      <c r="C14" s="66">
        <v>67.00268656716419</v>
      </c>
      <c r="D14" s="67">
        <f t="shared" si="0"/>
        <v>67002.686567164186</v>
      </c>
      <c r="E14" s="66" t="s">
        <v>68</v>
      </c>
      <c r="F14" s="49">
        <v>12.363809523809524</v>
      </c>
      <c r="G14" s="35">
        <v>3.4281995718849547</v>
      </c>
      <c r="H14" s="35">
        <v>-2.7210983385983383</v>
      </c>
      <c r="I14" s="101">
        <f t="shared" si="1"/>
        <v>-0.40434725582499592</v>
      </c>
    </row>
    <row r="15" spans="1:17" ht="17">
      <c r="A15" s="1" t="s">
        <v>66</v>
      </c>
      <c r="B15" s="5" t="s">
        <v>67</v>
      </c>
      <c r="C15" s="66">
        <v>67.151940298507469</v>
      </c>
      <c r="D15" s="67">
        <f t="shared" si="0"/>
        <v>67151.94029850747</v>
      </c>
      <c r="E15" s="66" t="s">
        <v>68</v>
      </c>
      <c r="F15" s="49">
        <v>12.19125</v>
      </c>
      <c r="G15" s="35">
        <v>3.2415761611607947</v>
      </c>
      <c r="H15" s="35">
        <v>-2.8936578624078617</v>
      </c>
      <c r="I15" s="101">
        <f t="shared" si="1"/>
        <v>-0.4568780389372869</v>
      </c>
    </row>
    <row r="16" spans="1:17">
      <c r="F16" s="47">
        <f>AVERAGE(F2:F15)</f>
        <v>13.692058706872562</v>
      </c>
    </row>
    <row r="17" spans="6:6">
      <c r="F17" s="5">
        <f>STDEV(F2:F15)</f>
        <v>3.2849219745266121</v>
      </c>
    </row>
  </sheetData>
  <phoneticPr fontId="1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3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17.5" style="2" customWidth="1"/>
    <col min="2" max="2" width="15.5" style="2" customWidth="1"/>
    <col min="3" max="3" width="9.6640625" style="2" customWidth="1"/>
    <col min="4" max="4" width="12.1640625" style="51" customWidth="1"/>
    <col min="5" max="5" width="17.33203125" style="5" customWidth="1"/>
    <col min="6" max="6" width="16.83203125" style="2" customWidth="1"/>
    <col min="7" max="8" width="14.1640625" style="2" customWidth="1"/>
    <col min="9" max="9" width="16.83203125" style="101" customWidth="1"/>
    <col min="10" max="10" width="13" style="2" customWidth="1"/>
    <col min="11" max="11" width="11.83203125" style="89" customWidth="1"/>
    <col min="12" max="12" width="13" style="2" customWidth="1"/>
    <col min="13" max="13" width="11.83203125" style="89" customWidth="1"/>
    <col min="14" max="14" width="13" style="2" customWidth="1"/>
    <col min="15" max="15" width="15" style="89" customWidth="1"/>
    <col min="16" max="16" width="13" style="2" customWidth="1"/>
    <col min="17" max="17" width="14" style="89" customWidth="1"/>
    <col min="18" max="16384" width="10.83203125" style="2"/>
  </cols>
  <sheetData>
    <row r="1" spans="1:17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68" t="s">
        <v>69</v>
      </c>
      <c r="H1" s="8" t="s">
        <v>23</v>
      </c>
      <c r="I1" s="100" t="s">
        <v>17</v>
      </c>
      <c r="J1" s="8" t="s">
        <v>10</v>
      </c>
      <c r="K1" s="87" t="s">
        <v>11</v>
      </c>
      <c r="L1" s="8" t="s">
        <v>10</v>
      </c>
      <c r="M1" s="87" t="s">
        <v>14</v>
      </c>
      <c r="N1" s="8" t="s">
        <v>10</v>
      </c>
      <c r="O1" s="87" t="s">
        <v>15</v>
      </c>
      <c r="P1" s="8" t="s">
        <v>10</v>
      </c>
      <c r="Q1" s="87" t="s">
        <v>16</v>
      </c>
    </row>
    <row r="2" spans="1:17">
      <c r="A2" s="41" t="s">
        <v>70</v>
      </c>
      <c r="B2" s="41" t="s">
        <v>71</v>
      </c>
      <c r="C2" s="42">
        <v>65.168199999999999</v>
      </c>
      <c r="D2" s="69">
        <f>C2*1000</f>
        <v>65168.2</v>
      </c>
      <c r="E2" s="5" t="s">
        <v>72</v>
      </c>
      <c r="F2" s="70">
        <v>22</v>
      </c>
      <c r="G2" s="41">
        <v>2</v>
      </c>
      <c r="H2" s="41">
        <v>-0.6</v>
      </c>
      <c r="I2" s="101">
        <f>(F2-25.87)/3.093020818</f>
        <v>-1.2512039936745105</v>
      </c>
      <c r="J2" s="3">
        <v>0.64661705108900003</v>
      </c>
      <c r="K2" s="88">
        <v>65400.000000000007</v>
      </c>
      <c r="L2" s="3">
        <v>0.35563937809899998</v>
      </c>
      <c r="M2" s="88">
        <v>66150</v>
      </c>
      <c r="N2" s="3">
        <v>0.64661705108900003</v>
      </c>
      <c r="O2" s="88">
        <v>65500</v>
      </c>
      <c r="P2" s="3">
        <v>1.6165426277199999E-2</v>
      </c>
      <c r="Q2" s="88">
        <v>66400</v>
      </c>
    </row>
    <row r="3" spans="1:17">
      <c r="A3" s="41" t="s">
        <v>70</v>
      </c>
      <c r="B3" s="41" t="s">
        <v>71</v>
      </c>
      <c r="C3" s="42">
        <v>65.466499999999996</v>
      </c>
      <c r="D3" s="69">
        <f t="shared" ref="D3:D11" si="0">C3*1000</f>
        <v>65466.5</v>
      </c>
      <c r="E3" s="5" t="s">
        <v>72</v>
      </c>
      <c r="F3" s="70">
        <v>24.3</v>
      </c>
      <c r="G3" s="41">
        <v>2.5</v>
      </c>
      <c r="H3" s="41">
        <v>1.7</v>
      </c>
      <c r="I3" s="101">
        <f t="shared" ref="I3:I11" si="1">(F3-25.87)/3.093020818</f>
        <v>-0.5075943850307445</v>
      </c>
      <c r="J3" s="3">
        <v>4.8496278831699997E-2</v>
      </c>
      <c r="K3" s="88">
        <v>66000</v>
      </c>
      <c r="L3" s="3">
        <v>1.6165426277199999E-2</v>
      </c>
      <c r="M3" s="88">
        <v>66450</v>
      </c>
      <c r="N3" s="3">
        <v>1.6165426277199999E-2</v>
      </c>
      <c r="O3" s="88">
        <v>66400</v>
      </c>
      <c r="P3" s="3">
        <v>0.12932341021800001</v>
      </c>
      <c r="Q3" s="88">
        <v>67050</v>
      </c>
    </row>
    <row r="4" spans="1:17">
      <c r="A4" s="41" t="s">
        <v>70</v>
      </c>
      <c r="B4" s="41" t="s">
        <v>71</v>
      </c>
      <c r="C4" s="42">
        <v>65.482200000000006</v>
      </c>
      <c r="D4" s="69">
        <f t="shared" si="0"/>
        <v>65482.200000000004</v>
      </c>
      <c r="E4" s="5" t="s">
        <v>72</v>
      </c>
      <c r="F4" s="70">
        <v>28.3</v>
      </c>
      <c r="G4" s="41">
        <v>2</v>
      </c>
      <c r="H4" s="41">
        <v>5.7</v>
      </c>
      <c r="I4" s="101">
        <f t="shared" si="1"/>
        <v>0.78563971695841328</v>
      </c>
      <c r="J4" s="3">
        <v>1.6165426277199999E-2</v>
      </c>
      <c r="K4" s="88">
        <v>66400</v>
      </c>
      <c r="L4" s="3">
        <v>0.12932341021800001</v>
      </c>
      <c r="M4" s="88">
        <v>67050</v>
      </c>
      <c r="N4" s="3">
        <v>0.12932341021800001</v>
      </c>
      <c r="O4" s="88">
        <v>67100</v>
      </c>
    </row>
    <row r="5" spans="1:17">
      <c r="A5" s="41" t="s">
        <v>70</v>
      </c>
      <c r="B5" s="41" t="s">
        <v>71</v>
      </c>
      <c r="C5" s="42">
        <v>66.039599999999993</v>
      </c>
      <c r="D5" s="69">
        <f t="shared" si="0"/>
        <v>66039.599999999991</v>
      </c>
      <c r="E5" s="5" t="s">
        <v>72</v>
      </c>
      <c r="F5" s="70">
        <v>22.6</v>
      </c>
      <c r="G5" s="41">
        <v>3.5</v>
      </c>
      <c r="H5" s="41">
        <v>0</v>
      </c>
      <c r="I5" s="101">
        <f t="shared" si="1"/>
        <v>-1.0572188783761363</v>
      </c>
      <c r="J5" s="3">
        <v>0.12932341021800001</v>
      </c>
      <c r="K5" s="88">
        <v>67000</v>
      </c>
    </row>
    <row r="6" spans="1:17">
      <c r="A6" s="41" t="s">
        <v>70</v>
      </c>
      <c r="B6" s="41" t="s">
        <v>71</v>
      </c>
      <c r="C6" s="42">
        <v>66.083500000000001</v>
      </c>
      <c r="D6" s="69">
        <f t="shared" si="0"/>
        <v>66083.5</v>
      </c>
      <c r="E6" s="5" t="s">
        <v>72</v>
      </c>
      <c r="F6" s="70">
        <v>22.9</v>
      </c>
      <c r="G6" s="41">
        <v>2</v>
      </c>
      <c r="H6" s="41">
        <v>0.3</v>
      </c>
      <c r="I6" s="101">
        <f t="shared" si="1"/>
        <v>-0.96022632072695047</v>
      </c>
    </row>
    <row r="7" spans="1:17">
      <c r="A7" s="41" t="s">
        <v>70</v>
      </c>
      <c r="B7" s="41" t="s">
        <v>71</v>
      </c>
      <c r="C7" s="42">
        <v>66.183999999999997</v>
      </c>
      <c r="D7" s="69">
        <f t="shared" si="0"/>
        <v>66184</v>
      </c>
      <c r="E7" s="5" t="s">
        <v>72</v>
      </c>
      <c r="F7" s="70">
        <v>25.1</v>
      </c>
      <c r="G7" s="41">
        <v>2</v>
      </c>
      <c r="H7" s="41">
        <v>2.5</v>
      </c>
      <c r="I7" s="101">
        <f t="shared" si="1"/>
        <v>-0.24894756463291273</v>
      </c>
    </row>
    <row r="8" spans="1:17">
      <c r="A8" s="41" t="s">
        <v>70</v>
      </c>
      <c r="B8" s="41" t="s">
        <v>71</v>
      </c>
      <c r="C8" s="42">
        <v>66.408500000000004</v>
      </c>
      <c r="D8" s="69">
        <f t="shared" si="0"/>
        <v>66408.5</v>
      </c>
      <c r="E8" s="5" t="s">
        <v>72</v>
      </c>
      <c r="F8" s="70">
        <v>30.4</v>
      </c>
      <c r="G8" s="41">
        <v>1.5</v>
      </c>
      <c r="H8" s="41">
        <v>7.8</v>
      </c>
      <c r="I8" s="101">
        <f t="shared" si="1"/>
        <v>1.4645876205027204</v>
      </c>
    </row>
    <row r="9" spans="1:17">
      <c r="A9" s="41" t="s">
        <v>70</v>
      </c>
      <c r="B9" s="41" t="s">
        <v>71</v>
      </c>
      <c r="C9" s="42">
        <v>66.424199999999999</v>
      </c>
      <c r="D9" s="69">
        <f t="shared" si="0"/>
        <v>66424.2</v>
      </c>
      <c r="E9" s="5" t="s">
        <v>72</v>
      </c>
      <c r="F9" s="70">
        <v>30.5</v>
      </c>
      <c r="G9" s="41">
        <v>3.5</v>
      </c>
      <c r="H9" s="41">
        <v>7.9</v>
      </c>
      <c r="I9" s="101">
        <f t="shared" si="1"/>
        <v>1.4969184730524498</v>
      </c>
    </row>
    <row r="10" spans="1:17">
      <c r="A10" s="41" t="s">
        <v>70</v>
      </c>
      <c r="B10" s="41" t="s">
        <v>71</v>
      </c>
      <c r="C10" s="42">
        <v>67.052199999999999</v>
      </c>
      <c r="D10" s="69">
        <f t="shared" si="0"/>
        <v>67052.2</v>
      </c>
      <c r="E10" s="5" t="s">
        <v>72</v>
      </c>
      <c r="F10" s="70">
        <v>26.7</v>
      </c>
      <c r="G10" s="41">
        <v>1.5</v>
      </c>
      <c r="H10" s="41">
        <v>4.0999999999999996</v>
      </c>
      <c r="I10" s="101">
        <f t="shared" si="1"/>
        <v>0.26834607616274969</v>
      </c>
    </row>
    <row r="11" spans="1:17">
      <c r="A11" s="41" t="s">
        <v>70</v>
      </c>
      <c r="B11" s="41" t="s">
        <v>71</v>
      </c>
      <c r="C11" s="42">
        <v>67.052199999999999</v>
      </c>
      <c r="D11" s="69">
        <f t="shared" si="0"/>
        <v>67052.2</v>
      </c>
      <c r="E11" s="5" t="s">
        <v>72</v>
      </c>
      <c r="F11" s="70">
        <v>25.9</v>
      </c>
      <c r="G11" s="41">
        <v>4</v>
      </c>
      <c r="H11" s="41">
        <v>3.3</v>
      </c>
      <c r="I11" s="101">
        <f t="shared" si="1"/>
        <v>9.699255764917902E-3</v>
      </c>
    </row>
    <row r="12" spans="1:17">
      <c r="F12" s="47">
        <f>AVERAGE(F2:F11)</f>
        <v>25.869999999999997</v>
      </c>
    </row>
    <row r="13" spans="1:17">
      <c r="F13" s="5">
        <f>STDEV(F2:F11)</f>
        <v>3.0930208175468108</v>
      </c>
    </row>
  </sheetData>
  <phoneticPr fontId="1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1"/>
  <sheetViews>
    <sheetView workbookViewId="0">
      <pane ySplit="1" topLeftCell="A2" activePane="bottomLeft" state="frozen"/>
      <selection pane="bottomLeft"/>
    </sheetView>
  </sheetViews>
  <sheetFormatPr baseColWidth="10" defaultColWidth="11" defaultRowHeight="16"/>
  <cols>
    <col min="1" max="1" width="20.5" style="2" customWidth="1"/>
    <col min="2" max="2" width="14.6640625" style="2" customWidth="1"/>
    <col min="3" max="3" width="9.6640625" style="2" customWidth="1"/>
    <col min="4" max="4" width="10.83203125" style="51" customWidth="1"/>
    <col min="5" max="5" width="16" style="2" customWidth="1"/>
    <col min="6" max="6" width="16.83203125" style="2" customWidth="1"/>
    <col min="7" max="7" width="7.6640625" style="2" customWidth="1"/>
    <col min="8" max="8" width="14.1640625" style="2" customWidth="1"/>
    <col min="9" max="9" width="16.83203125" style="101" customWidth="1"/>
    <col min="10" max="10" width="13" style="2" customWidth="1"/>
    <col min="11" max="11" width="11.83203125" style="89" customWidth="1"/>
    <col min="12" max="12" width="13" style="2" customWidth="1"/>
    <col min="13" max="13" width="11.83203125" style="89" customWidth="1"/>
    <col min="14" max="14" width="13" style="2" customWidth="1"/>
    <col min="15" max="15" width="15" style="89" customWidth="1"/>
    <col min="16" max="16" width="11" style="2"/>
    <col min="17" max="17" width="17.1640625" style="89" customWidth="1"/>
    <col min="18" max="18" width="17.1640625" style="2" customWidth="1"/>
    <col min="19" max="16384" width="11" style="2"/>
  </cols>
  <sheetData>
    <row r="1" spans="1:17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68" t="s">
        <v>69</v>
      </c>
      <c r="H1" s="8" t="s">
        <v>23</v>
      </c>
      <c r="I1" s="100" t="s">
        <v>17</v>
      </c>
      <c r="J1" s="8" t="s">
        <v>10</v>
      </c>
      <c r="K1" s="87" t="s">
        <v>11</v>
      </c>
      <c r="L1" s="8" t="s">
        <v>10</v>
      </c>
      <c r="M1" s="87" t="s">
        <v>14</v>
      </c>
      <c r="N1" s="8" t="s">
        <v>10</v>
      </c>
      <c r="O1" s="87" t="s">
        <v>15</v>
      </c>
      <c r="P1" s="8" t="s">
        <v>10</v>
      </c>
      <c r="Q1" s="87" t="s">
        <v>16</v>
      </c>
    </row>
    <row r="2" spans="1:17">
      <c r="A2" s="41" t="s">
        <v>73</v>
      </c>
      <c r="B2" s="41" t="s">
        <v>74</v>
      </c>
      <c r="C2" s="42">
        <v>65.808000000000007</v>
      </c>
      <c r="D2" s="69">
        <f>C2*1000</f>
        <v>65808</v>
      </c>
      <c r="E2" s="5" t="s">
        <v>72</v>
      </c>
      <c r="F2" s="71">
        <v>1.8</v>
      </c>
      <c r="G2" s="72">
        <v>2.6</v>
      </c>
      <c r="H2" s="72">
        <v>-6</v>
      </c>
      <c r="I2" s="101">
        <f>(F2-7.65555556)/3.412989413</f>
        <v>-1.7156676600567</v>
      </c>
      <c r="J2" s="3">
        <v>0.17579896314499999</v>
      </c>
      <c r="K2" s="88">
        <v>66000</v>
      </c>
      <c r="L2" s="3">
        <v>0.17579896314499999</v>
      </c>
      <c r="M2" s="88">
        <v>66000</v>
      </c>
      <c r="N2" s="3">
        <v>0.17579896314499999</v>
      </c>
      <c r="O2" s="88">
        <v>66000</v>
      </c>
    </row>
    <row r="3" spans="1:17">
      <c r="A3" s="41" t="s">
        <v>73</v>
      </c>
      <c r="B3" s="41" t="s">
        <v>74</v>
      </c>
      <c r="C3" s="42">
        <v>65.995000000000005</v>
      </c>
      <c r="D3" s="69">
        <f t="shared" ref="D3:D19" si="0">C3*1000</f>
        <v>65995</v>
      </c>
      <c r="E3" s="5" t="s">
        <v>72</v>
      </c>
      <c r="F3" s="71">
        <v>6.5</v>
      </c>
      <c r="G3" s="72">
        <v>2.2999999999999998</v>
      </c>
      <c r="H3" s="72">
        <v>-1.3</v>
      </c>
      <c r="I3" s="101">
        <f t="shared" ref="I3:I19" si="1">(F3-7.65555556)/3.412989413</f>
        <v>-0.33857578215698958</v>
      </c>
      <c r="J3" s="3">
        <v>1.14269326044</v>
      </c>
      <c r="K3" s="88">
        <v>66200</v>
      </c>
      <c r="L3" s="3">
        <v>0.71784576617700002</v>
      </c>
      <c r="M3" s="88">
        <v>66150</v>
      </c>
      <c r="N3" s="3">
        <v>1.14269326044</v>
      </c>
      <c r="O3" s="88">
        <v>66200</v>
      </c>
    </row>
    <row r="4" spans="1:17">
      <c r="A4" s="41" t="s">
        <v>73</v>
      </c>
      <c r="B4" s="41" t="s">
        <v>74</v>
      </c>
      <c r="C4" s="42">
        <v>66.045000000000002</v>
      </c>
      <c r="D4" s="69">
        <f t="shared" si="0"/>
        <v>66045</v>
      </c>
      <c r="E4" s="5" t="s">
        <v>72</v>
      </c>
      <c r="F4" s="71">
        <v>7.7</v>
      </c>
      <c r="G4" s="72">
        <v>1.2</v>
      </c>
      <c r="H4" s="72">
        <v>0</v>
      </c>
      <c r="I4" s="101">
        <f t="shared" si="1"/>
        <v>1.3022144115276914E-2</v>
      </c>
      <c r="J4" s="3">
        <v>5.8599654381800002E-2</v>
      </c>
      <c r="K4" s="88">
        <v>66400</v>
      </c>
      <c r="L4" s="3">
        <v>0.33694801269500002</v>
      </c>
      <c r="M4" s="88">
        <v>66300</v>
      </c>
    </row>
    <row r="5" spans="1:17">
      <c r="A5" s="41" t="s">
        <v>73</v>
      </c>
      <c r="B5" s="41" t="s">
        <v>74</v>
      </c>
      <c r="C5" s="42">
        <v>66.08</v>
      </c>
      <c r="D5" s="69">
        <f t="shared" si="0"/>
        <v>66080</v>
      </c>
      <c r="E5" s="5" t="s">
        <v>72</v>
      </c>
      <c r="F5" s="71">
        <v>6.6</v>
      </c>
      <c r="G5" s="72">
        <v>2.5</v>
      </c>
      <c r="H5" s="72">
        <v>-1.1000000000000001</v>
      </c>
      <c r="I5" s="101">
        <f t="shared" si="1"/>
        <v>-0.30927595496763416</v>
      </c>
      <c r="J5" s="3">
        <v>1.4649913595400001E-2</v>
      </c>
      <c r="K5" s="88">
        <v>67000</v>
      </c>
      <c r="L5" s="3">
        <v>1.4649913595400001E-2</v>
      </c>
      <c r="M5" s="88">
        <v>66900</v>
      </c>
    </row>
    <row r="6" spans="1:17">
      <c r="A6" s="41" t="s">
        <v>73</v>
      </c>
      <c r="B6" s="41" t="s">
        <v>74</v>
      </c>
      <c r="C6" s="42">
        <v>66.168999999999997</v>
      </c>
      <c r="D6" s="69">
        <f t="shared" si="0"/>
        <v>66169</v>
      </c>
      <c r="E6" s="5" t="s">
        <v>72</v>
      </c>
      <c r="F6" s="71">
        <v>8.6999999999999993</v>
      </c>
      <c r="G6" s="72">
        <v>2.2999999999999998</v>
      </c>
      <c r="H6" s="72">
        <v>1</v>
      </c>
      <c r="I6" s="101">
        <f t="shared" si="1"/>
        <v>0.30602041600883206</v>
      </c>
      <c r="J6" s="3">
        <v>0.43949740786300001</v>
      </c>
      <c r="K6" s="88">
        <v>68800</v>
      </c>
    </row>
    <row r="7" spans="1:17">
      <c r="A7" s="41" t="s">
        <v>73</v>
      </c>
      <c r="B7" s="41" t="s">
        <v>74</v>
      </c>
      <c r="C7" s="42">
        <v>66.201999999999998</v>
      </c>
      <c r="D7" s="69">
        <f t="shared" si="0"/>
        <v>66202</v>
      </c>
      <c r="E7" s="5" t="s">
        <v>72</v>
      </c>
      <c r="F7" s="71">
        <v>11.5</v>
      </c>
      <c r="G7" s="72">
        <v>2.4</v>
      </c>
      <c r="H7" s="72">
        <v>3.8</v>
      </c>
      <c r="I7" s="101">
        <f t="shared" si="1"/>
        <v>1.1264155773107873</v>
      </c>
    </row>
    <row r="8" spans="1:17">
      <c r="A8" s="41" t="s">
        <v>73</v>
      </c>
      <c r="B8" s="41" t="s">
        <v>74</v>
      </c>
      <c r="C8" s="42">
        <v>66.244</v>
      </c>
      <c r="D8" s="69">
        <f t="shared" si="0"/>
        <v>66244</v>
      </c>
      <c r="E8" s="5" t="s">
        <v>72</v>
      </c>
      <c r="F8" s="71">
        <v>3.7</v>
      </c>
      <c r="G8" s="72">
        <v>2.2000000000000002</v>
      </c>
      <c r="H8" s="72">
        <v>-4</v>
      </c>
      <c r="I8" s="101">
        <f t="shared" si="1"/>
        <v>-1.1589709434589446</v>
      </c>
    </row>
    <row r="9" spans="1:17">
      <c r="A9" s="41" t="s">
        <v>73</v>
      </c>
      <c r="B9" s="41" t="s">
        <v>74</v>
      </c>
      <c r="C9" s="42">
        <v>66.308999999999997</v>
      </c>
      <c r="D9" s="69">
        <f t="shared" si="0"/>
        <v>66309</v>
      </c>
      <c r="E9" s="5" t="s">
        <v>72</v>
      </c>
      <c r="F9" s="71">
        <v>6</v>
      </c>
      <c r="G9" s="72">
        <v>2</v>
      </c>
      <c r="H9" s="72">
        <v>-1.7</v>
      </c>
      <c r="I9" s="101">
        <f t="shared" si="1"/>
        <v>-0.48507491810376729</v>
      </c>
    </row>
    <row r="10" spans="1:17">
      <c r="A10" s="41" t="s">
        <v>73</v>
      </c>
      <c r="B10" s="41" t="s">
        <v>74</v>
      </c>
      <c r="C10" s="42">
        <v>66.497</v>
      </c>
      <c r="D10" s="69">
        <f t="shared" si="0"/>
        <v>66497</v>
      </c>
      <c r="E10" s="5" t="s">
        <v>72</v>
      </c>
      <c r="F10" s="71">
        <v>6.4</v>
      </c>
      <c r="G10" s="72">
        <v>2.6</v>
      </c>
      <c r="H10" s="72">
        <v>-1.3</v>
      </c>
      <c r="I10" s="101">
        <f t="shared" si="1"/>
        <v>-0.36787560934634506</v>
      </c>
    </row>
    <row r="11" spans="1:17">
      <c r="A11" s="41" t="s">
        <v>73</v>
      </c>
      <c r="B11" s="41" t="s">
        <v>74</v>
      </c>
      <c r="C11" s="42">
        <v>66.902000000000001</v>
      </c>
      <c r="D11" s="69">
        <f t="shared" si="0"/>
        <v>66902</v>
      </c>
      <c r="E11" s="5" t="s">
        <v>72</v>
      </c>
      <c r="F11" s="71">
        <v>10.8</v>
      </c>
      <c r="G11" s="72">
        <v>3.4</v>
      </c>
      <c r="H11" s="72">
        <v>3.1</v>
      </c>
      <c r="I11" s="101">
        <f t="shared" si="1"/>
        <v>0.92131678698529873</v>
      </c>
    </row>
    <row r="12" spans="1:17">
      <c r="A12" s="41" t="s">
        <v>73</v>
      </c>
      <c r="B12" s="41" t="s">
        <v>74</v>
      </c>
      <c r="C12" s="42">
        <v>66.971000000000004</v>
      </c>
      <c r="D12" s="69">
        <f t="shared" si="0"/>
        <v>66971</v>
      </c>
      <c r="E12" s="5" t="s">
        <v>72</v>
      </c>
      <c r="F12" s="71">
        <v>10.7</v>
      </c>
      <c r="G12" s="72">
        <v>1.4</v>
      </c>
      <c r="H12" s="72">
        <v>3</v>
      </c>
      <c r="I12" s="101">
        <f t="shared" si="1"/>
        <v>0.89201695979594275</v>
      </c>
    </row>
    <row r="13" spans="1:17">
      <c r="A13" s="41" t="s">
        <v>73</v>
      </c>
      <c r="B13" s="41" t="s">
        <v>74</v>
      </c>
      <c r="C13" s="42">
        <v>67.346000000000004</v>
      </c>
      <c r="D13" s="69">
        <f t="shared" si="0"/>
        <v>67346</v>
      </c>
      <c r="E13" s="5" t="s">
        <v>72</v>
      </c>
      <c r="F13" s="71">
        <v>11.6</v>
      </c>
      <c r="G13" s="72">
        <v>2.2000000000000002</v>
      </c>
      <c r="H13" s="72">
        <v>3.9</v>
      </c>
      <c r="I13" s="101">
        <f t="shared" si="1"/>
        <v>1.1557154045001428</v>
      </c>
    </row>
    <row r="14" spans="1:17">
      <c r="A14" s="41" t="s">
        <v>73</v>
      </c>
      <c r="B14" s="41" t="s">
        <v>74</v>
      </c>
      <c r="C14" s="42">
        <v>67.653000000000006</v>
      </c>
      <c r="D14" s="69">
        <f t="shared" si="0"/>
        <v>67653</v>
      </c>
      <c r="E14" s="5" t="s">
        <v>72</v>
      </c>
      <c r="F14" s="71">
        <v>7.7</v>
      </c>
      <c r="G14" s="72">
        <v>1.7</v>
      </c>
      <c r="H14" s="72">
        <v>0</v>
      </c>
      <c r="I14" s="101">
        <f t="shared" si="1"/>
        <v>1.3022144115276914E-2</v>
      </c>
    </row>
    <row r="15" spans="1:17">
      <c r="A15" s="41" t="s">
        <v>73</v>
      </c>
      <c r="B15" s="41" t="s">
        <v>74</v>
      </c>
      <c r="C15" s="42">
        <v>67.83</v>
      </c>
      <c r="D15" s="69">
        <f t="shared" si="0"/>
        <v>67830</v>
      </c>
      <c r="E15" s="5" t="s">
        <v>72</v>
      </c>
      <c r="F15" s="71">
        <v>14.2</v>
      </c>
      <c r="G15" s="72">
        <v>2.2999999999999998</v>
      </c>
      <c r="H15" s="72">
        <v>6.5</v>
      </c>
      <c r="I15" s="101">
        <f t="shared" si="1"/>
        <v>1.9175109114233866</v>
      </c>
    </row>
    <row r="16" spans="1:17">
      <c r="A16" s="41" t="s">
        <v>73</v>
      </c>
      <c r="B16" s="41" t="s">
        <v>74</v>
      </c>
      <c r="C16" s="42">
        <v>67.959000000000003</v>
      </c>
      <c r="D16" s="69">
        <f t="shared" si="0"/>
        <v>67959</v>
      </c>
      <c r="E16" s="5" t="s">
        <v>72</v>
      </c>
      <c r="F16" s="71">
        <v>10.4</v>
      </c>
      <c r="G16" s="72">
        <v>2.1</v>
      </c>
      <c r="H16" s="72">
        <v>2.7</v>
      </c>
      <c r="I16" s="101">
        <f t="shared" si="1"/>
        <v>0.80411747822787649</v>
      </c>
    </row>
    <row r="17" spans="1:9">
      <c r="A17" s="41" t="s">
        <v>73</v>
      </c>
      <c r="B17" s="41" t="s">
        <v>74</v>
      </c>
      <c r="C17" s="42">
        <v>68.727999999999994</v>
      </c>
      <c r="D17" s="69">
        <f t="shared" si="0"/>
        <v>68728</v>
      </c>
      <c r="E17" s="5" t="s">
        <v>72</v>
      </c>
      <c r="F17" s="71">
        <v>5</v>
      </c>
      <c r="G17" s="72">
        <v>2.2000000000000002</v>
      </c>
      <c r="H17" s="72">
        <v>-2.7</v>
      </c>
      <c r="I17" s="101">
        <f t="shared" si="1"/>
        <v>-0.77807318999732267</v>
      </c>
    </row>
    <row r="18" spans="1:9">
      <c r="A18" s="41" t="s">
        <v>73</v>
      </c>
      <c r="B18" s="41" t="s">
        <v>74</v>
      </c>
      <c r="C18" s="42">
        <v>68.8</v>
      </c>
      <c r="D18" s="69">
        <f t="shared" si="0"/>
        <v>68800</v>
      </c>
      <c r="E18" s="5" t="s">
        <v>72</v>
      </c>
      <c r="F18" s="71">
        <v>2</v>
      </c>
      <c r="G18" s="72">
        <v>1.6</v>
      </c>
      <c r="H18" s="72">
        <v>-5.7</v>
      </c>
      <c r="I18" s="101">
        <f t="shared" si="1"/>
        <v>-1.6570680056779887</v>
      </c>
    </row>
    <row r="19" spans="1:9">
      <c r="A19" s="41" t="s">
        <v>73</v>
      </c>
      <c r="B19" s="41" t="s">
        <v>74</v>
      </c>
      <c r="C19" s="42">
        <v>68.953000000000003</v>
      </c>
      <c r="D19" s="69">
        <f t="shared" si="0"/>
        <v>68953</v>
      </c>
      <c r="E19" s="5" t="s">
        <v>72</v>
      </c>
      <c r="F19" s="71">
        <v>6.5</v>
      </c>
      <c r="G19" s="72">
        <v>1.5</v>
      </c>
      <c r="H19" s="72">
        <v>-1.2</v>
      </c>
      <c r="I19" s="101">
        <f t="shared" si="1"/>
        <v>-0.33857578215698958</v>
      </c>
    </row>
    <row r="20" spans="1:9">
      <c r="F20" s="47">
        <f>AVERAGE(F2:F19)</f>
        <v>7.6555555555555559</v>
      </c>
    </row>
    <row r="21" spans="1:9">
      <c r="F21" s="5">
        <f>STDEV(F2:F19)</f>
        <v>3.4129894128206901</v>
      </c>
    </row>
  </sheetData>
  <phoneticPr fontId="1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0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10.83203125" defaultRowHeight="16"/>
  <cols>
    <col min="1" max="1" width="17.5" style="2" customWidth="1"/>
    <col min="2" max="2" width="14.6640625" style="2" customWidth="1"/>
    <col min="3" max="3" width="9.6640625" style="2" customWidth="1"/>
    <col min="4" max="4" width="11.33203125" style="45" customWidth="1"/>
    <col min="5" max="5" width="12.6640625" style="2" customWidth="1"/>
    <col min="6" max="6" width="16.83203125" style="2" customWidth="1"/>
    <col min="7" max="7" width="22.5" style="2" customWidth="1"/>
    <col min="8" max="8" width="14.1640625" style="74" customWidth="1"/>
    <col min="9" max="9" width="16.83203125" style="101" customWidth="1"/>
    <col min="10" max="10" width="13" style="2" customWidth="1"/>
    <col min="11" max="11" width="11.83203125" style="89" customWidth="1"/>
    <col min="12" max="12" width="13" style="2" customWidth="1"/>
    <col min="13" max="13" width="13.83203125" style="89" customWidth="1"/>
    <col min="14" max="14" width="13" style="2" customWidth="1"/>
    <col min="15" max="15" width="15" style="89" customWidth="1"/>
    <col min="16" max="16" width="10.83203125" style="2"/>
    <col min="17" max="17" width="14" style="89" customWidth="1"/>
    <col min="18" max="16384" width="10.83203125" style="2"/>
  </cols>
  <sheetData>
    <row r="1" spans="1:17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68" t="s">
        <v>69</v>
      </c>
      <c r="H1" s="8" t="s">
        <v>23</v>
      </c>
      <c r="I1" s="100" t="s">
        <v>17</v>
      </c>
      <c r="J1" s="8" t="s">
        <v>10</v>
      </c>
      <c r="K1" s="87" t="s">
        <v>11</v>
      </c>
      <c r="L1" s="8" t="s">
        <v>10</v>
      </c>
      <c r="M1" s="87" t="s">
        <v>14</v>
      </c>
      <c r="N1" s="8" t="s">
        <v>10</v>
      </c>
      <c r="O1" s="87" t="s">
        <v>15</v>
      </c>
      <c r="P1" s="8" t="s">
        <v>10</v>
      </c>
      <c r="Q1" s="87" t="s">
        <v>16</v>
      </c>
    </row>
    <row r="2" spans="1:17">
      <c r="A2" s="1" t="s">
        <v>75</v>
      </c>
      <c r="B2" s="41" t="s">
        <v>74</v>
      </c>
      <c r="C2" s="42">
        <v>65.668335200000001</v>
      </c>
      <c r="D2" s="73">
        <f t="shared" ref="D2:D18" si="0">C2*1000</f>
        <v>65668.335200000001</v>
      </c>
      <c r="E2" s="41" t="s">
        <v>76</v>
      </c>
      <c r="F2" s="43">
        <v>5.9446014720000004</v>
      </c>
      <c r="G2" s="44" t="s">
        <v>77</v>
      </c>
      <c r="H2" s="44">
        <v>-2.7595770819999998</v>
      </c>
      <c r="I2" s="101">
        <f>(F2-8.68424906)/2.08449491</f>
        <v>-1.314298046426988</v>
      </c>
      <c r="J2" s="3">
        <v>0.99176556031700003</v>
      </c>
      <c r="K2" s="88">
        <v>65800</v>
      </c>
      <c r="L2" s="3">
        <v>0.292209694154</v>
      </c>
      <c r="M2" s="88">
        <v>65700</v>
      </c>
      <c r="N2" s="3">
        <v>0.292209694154</v>
      </c>
      <c r="O2" s="88">
        <v>65700</v>
      </c>
    </row>
    <row r="3" spans="1:17">
      <c r="A3" s="1" t="s">
        <v>75</v>
      </c>
      <c r="B3" s="41" t="s">
        <v>74</v>
      </c>
      <c r="C3" s="42">
        <v>65.720840219999999</v>
      </c>
      <c r="D3" s="73">
        <f t="shared" si="0"/>
        <v>65720.840219999998</v>
      </c>
      <c r="E3" s="41" t="s">
        <v>76</v>
      </c>
      <c r="F3" s="43">
        <v>7.1628207120000003</v>
      </c>
      <c r="G3" s="44">
        <v>2.0214682860000002</v>
      </c>
      <c r="H3" s="44">
        <v>-1.541357842</v>
      </c>
      <c r="I3" s="101">
        <f t="shared" ref="I3:I18" si="1">(F3-8.68424906)/2.08449491</f>
        <v>-0.72987865823092868</v>
      </c>
      <c r="J3" s="3">
        <v>3.0454903587199999E-2</v>
      </c>
      <c r="K3" s="88">
        <v>66000</v>
      </c>
      <c r="L3" s="3">
        <v>0.95317989065200004</v>
      </c>
      <c r="M3" s="88">
        <v>65850</v>
      </c>
      <c r="N3" s="3">
        <v>8.0410405047199998E-2</v>
      </c>
      <c r="O3" s="88">
        <v>65800</v>
      </c>
    </row>
    <row r="4" spans="1:17">
      <c r="A4" s="1" t="s">
        <v>75</v>
      </c>
      <c r="B4" s="41" t="s">
        <v>74</v>
      </c>
      <c r="C4" s="42">
        <v>65.783374300000006</v>
      </c>
      <c r="D4" s="73">
        <f t="shared" si="0"/>
        <v>65783.37430000001</v>
      </c>
      <c r="E4" s="41" t="s">
        <v>76</v>
      </c>
      <c r="F4" s="43">
        <v>10.452654020000001</v>
      </c>
      <c r="G4" s="44">
        <v>1.9440716840000001</v>
      </c>
      <c r="H4" s="44">
        <v>1.7484754660000004</v>
      </c>
      <c r="I4" s="101">
        <f t="shared" si="1"/>
        <v>0.84836137114865862</v>
      </c>
      <c r="J4" s="3">
        <v>0.19158125292600001</v>
      </c>
      <c r="K4" s="88">
        <v>66200</v>
      </c>
      <c r="L4" s="3">
        <v>3.0454903587199999E-2</v>
      </c>
      <c r="M4" s="88">
        <v>66000</v>
      </c>
    </row>
    <row r="5" spans="1:17">
      <c r="A5" s="1" t="s">
        <v>75</v>
      </c>
      <c r="B5" s="41" t="s">
        <v>74</v>
      </c>
      <c r="C5" s="42">
        <v>65.845908379999997</v>
      </c>
      <c r="D5" s="73">
        <f t="shared" si="0"/>
        <v>65845.908379999993</v>
      </c>
      <c r="E5" s="41" t="s">
        <v>76</v>
      </c>
      <c r="F5" s="43">
        <v>10.787884180000001</v>
      </c>
      <c r="G5" s="44" t="s">
        <v>77</v>
      </c>
      <c r="H5" s="44">
        <v>2.0837056260000004</v>
      </c>
      <c r="I5" s="101">
        <f t="shared" si="1"/>
        <v>1.009182181212426</v>
      </c>
      <c r="J5" s="3">
        <v>0.180089634074</v>
      </c>
      <c r="K5" s="88">
        <v>67200</v>
      </c>
      <c r="L5" s="3">
        <v>0.714411205391</v>
      </c>
      <c r="M5" s="88">
        <v>67800</v>
      </c>
    </row>
    <row r="6" spans="1:17">
      <c r="A6" s="1" t="s">
        <v>75</v>
      </c>
      <c r="B6" s="41" t="s">
        <v>74</v>
      </c>
      <c r="C6" s="42">
        <v>65.899003350000001</v>
      </c>
      <c r="D6" s="73">
        <f t="shared" si="0"/>
        <v>65899.003349999999</v>
      </c>
      <c r="E6" s="41" t="s">
        <v>76</v>
      </c>
      <c r="F6" s="43">
        <v>14.42645128</v>
      </c>
      <c r="G6" s="44">
        <v>7.2960387459999998</v>
      </c>
      <c r="H6" s="44">
        <v>5.7222727259999999</v>
      </c>
      <c r="I6" s="101">
        <f t="shared" si="1"/>
        <v>2.754721152089548</v>
      </c>
      <c r="J6" s="3">
        <v>0.714411205391</v>
      </c>
      <c r="K6" s="88">
        <v>67800</v>
      </c>
    </row>
    <row r="7" spans="1:17">
      <c r="A7" s="1" t="s">
        <v>75</v>
      </c>
      <c r="B7" s="41" t="s">
        <v>74</v>
      </c>
      <c r="C7" s="42">
        <v>65.962127370000005</v>
      </c>
      <c r="D7" s="73">
        <f t="shared" si="0"/>
        <v>65962.127370000002</v>
      </c>
      <c r="E7" s="41" t="s">
        <v>76</v>
      </c>
      <c r="F7" s="43">
        <v>8.5772123709999999</v>
      </c>
      <c r="G7" s="44">
        <v>0.78188429100000001</v>
      </c>
      <c r="H7" s="44">
        <v>-0.1269661830000004</v>
      </c>
      <c r="I7" s="101">
        <f t="shared" si="1"/>
        <v>-5.1348980746612115E-2</v>
      </c>
    </row>
    <row r="8" spans="1:17">
      <c r="A8" s="1" t="s">
        <v>75</v>
      </c>
      <c r="B8" s="41" t="s">
        <v>74</v>
      </c>
      <c r="C8" s="42">
        <v>66.053364250000001</v>
      </c>
      <c r="D8" s="73">
        <f t="shared" si="0"/>
        <v>66053.364249999999</v>
      </c>
      <c r="E8" s="41" t="s">
        <v>76</v>
      </c>
      <c r="F8" s="43">
        <v>8.7041785540000003</v>
      </c>
      <c r="G8" s="44">
        <v>2.123015901</v>
      </c>
      <c r="H8" s="44">
        <v>0</v>
      </c>
      <c r="I8" s="101">
        <f t="shared" si="1"/>
        <v>9.5608264162177475E-3</v>
      </c>
    </row>
    <row r="9" spans="1:17">
      <c r="A9" s="1" t="s">
        <v>75</v>
      </c>
      <c r="B9" s="41" t="s">
        <v>74</v>
      </c>
      <c r="C9" s="42">
        <v>66.200371039999993</v>
      </c>
      <c r="D9" s="73">
        <f t="shared" si="0"/>
        <v>66200.371039999998</v>
      </c>
      <c r="E9" s="41" t="s">
        <v>76</v>
      </c>
      <c r="F9" s="43">
        <v>8.8828656610000003</v>
      </c>
      <c r="G9" s="44">
        <v>7.9322363149999999</v>
      </c>
      <c r="H9" s="44">
        <v>0.17868710700000001</v>
      </c>
      <c r="I9" s="101">
        <f t="shared" si="1"/>
        <v>9.5282842883026964E-2</v>
      </c>
    </row>
    <row r="10" spans="1:17">
      <c r="A10" s="1" t="s">
        <v>75</v>
      </c>
      <c r="B10" s="41" t="s">
        <v>74</v>
      </c>
      <c r="C10" s="42">
        <v>66.266463349999995</v>
      </c>
      <c r="D10" s="73">
        <f t="shared" si="0"/>
        <v>66266.463349999991</v>
      </c>
      <c r="E10" s="41" t="s">
        <v>76</v>
      </c>
      <c r="F10" s="43">
        <v>9.6815659539999999</v>
      </c>
      <c r="G10" s="44">
        <v>4.2252740629999996</v>
      </c>
      <c r="H10" s="44">
        <v>0.97738739999999957</v>
      </c>
      <c r="I10" s="101">
        <f t="shared" si="1"/>
        <v>0.47844534866242439</v>
      </c>
    </row>
    <row r="11" spans="1:17">
      <c r="A11" s="1" t="s">
        <v>75</v>
      </c>
      <c r="B11" s="41" t="s">
        <v>74</v>
      </c>
      <c r="C11" s="42">
        <v>66.452749909999994</v>
      </c>
      <c r="D11" s="73">
        <f t="shared" si="0"/>
        <v>66452.749909999999</v>
      </c>
      <c r="E11" s="41" t="s">
        <v>76</v>
      </c>
      <c r="F11" s="43">
        <v>7.942800912</v>
      </c>
      <c r="G11" s="44">
        <v>5.1054315670000001</v>
      </c>
      <c r="H11" s="44">
        <v>-0.76137764200000024</v>
      </c>
      <c r="I11" s="101">
        <f t="shared" si="1"/>
        <v>-0.35569678987606679</v>
      </c>
    </row>
    <row r="12" spans="1:17">
      <c r="A12" s="1" t="s">
        <v>75</v>
      </c>
      <c r="B12" s="41" t="s">
        <v>74</v>
      </c>
      <c r="C12" s="42">
        <v>67.112664499999994</v>
      </c>
      <c r="D12" s="73">
        <f t="shared" si="0"/>
        <v>67112.664499999999</v>
      </c>
      <c r="E12" s="41" t="s">
        <v>76</v>
      </c>
      <c r="F12" s="43">
        <v>7.4273690940000003</v>
      </c>
      <c r="G12" s="44">
        <v>4.0794073839999996</v>
      </c>
      <c r="H12" s="44">
        <v>-1.27680946</v>
      </c>
      <c r="I12" s="101">
        <f t="shared" si="1"/>
        <v>-0.60296619577737443</v>
      </c>
    </row>
    <row r="13" spans="1:17">
      <c r="A13" s="1" t="s">
        <v>75</v>
      </c>
      <c r="B13" s="41" t="s">
        <v>74</v>
      </c>
      <c r="C13" s="42">
        <v>67.236094769999994</v>
      </c>
      <c r="D13" s="73">
        <f t="shared" si="0"/>
        <v>67236.094769999996</v>
      </c>
      <c r="E13" s="41" t="s">
        <v>76</v>
      </c>
      <c r="F13" s="43">
        <v>6.6765772429999997</v>
      </c>
      <c r="G13" s="44" t="s">
        <v>77</v>
      </c>
      <c r="H13" s="44">
        <v>-2.0276013110000006</v>
      </c>
      <c r="I13" s="101">
        <f t="shared" si="1"/>
        <v>-0.96314546385723776</v>
      </c>
    </row>
    <row r="14" spans="1:17">
      <c r="A14" s="1" t="s">
        <v>75</v>
      </c>
      <c r="B14" s="41" t="s">
        <v>74</v>
      </c>
      <c r="C14" s="42">
        <v>67.372159640000007</v>
      </c>
      <c r="D14" s="73">
        <f t="shared" si="0"/>
        <v>67372.159640000013</v>
      </c>
      <c r="E14" s="41" t="s">
        <v>76</v>
      </c>
      <c r="F14" s="43">
        <v>10.420969830000001</v>
      </c>
      <c r="G14" s="44">
        <v>2.1716272010000002</v>
      </c>
      <c r="H14" s="44">
        <v>1.7167912760000004</v>
      </c>
      <c r="I14" s="101">
        <f t="shared" si="1"/>
        <v>0.83316143477654248</v>
      </c>
    </row>
    <row r="15" spans="1:17">
      <c r="A15" s="1" t="s">
        <v>75</v>
      </c>
      <c r="B15" s="41" t="s">
        <v>74</v>
      </c>
      <c r="C15" s="42">
        <v>67.826519099999999</v>
      </c>
      <c r="D15" s="73">
        <f t="shared" si="0"/>
        <v>67826.519100000005</v>
      </c>
      <c r="E15" s="41" t="s">
        <v>76</v>
      </c>
      <c r="F15" s="43">
        <v>9.2822237639999994</v>
      </c>
      <c r="G15" s="44">
        <v>8.2093223000000007E-2</v>
      </c>
      <c r="H15" s="44">
        <v>0.57804520999999909</v>
      </c>
      <c r="I15" s="101">
        <f t="shared" si="1"/>
        <v>0.2868679127645356</v>
      </c>
    </row>
    <row r="16" spans="1:17">
      <c r="A16" s="1" t="s">
        <v>75</v>
      </c>
      <c r="B16" s="41" t="s">
        <v>74</v>
      </c>
      <c r="C16" s="42">
        <v>67.865394769999995</v>
      </c>
      <c r="D16" s="73">
        <f t="shared" si="0"/>
        <v>67865.394769999999</v>
      </c>
      <c r="E16" s="41" t="s">
        <v>76</v>
      </c>
      <c r="F16" s="43">
        <v>6.303850722</v>
      </c>
      <c r="G16" s="44">
        <v>0.60350800900000001</v>
      </c>
      <c r="H16" s="44">
        <v>-2.4003278320000003</v>
      </c>
      <c r="I16" s="101">
        <f t="shared" si="1"/>
        <v>-1.1419544977444924</v>
      </c>
    </row>
    <row r="17" spans="1:9">
      <c r="A17" s="1" t="s">
        <v>75</v>
      </c>
      <c r="B17" s="41" t="s">
        <v>74</v>
      </c>
      <c r="C17" s="42">
        <v>68.067548290000005</v>
      </c>
      <c r="D17" s="73">
        <f t="shared" si="0"/>
        <v>68067.548290000006</v>
      </c>
      <c r="E17" s="41" t="s">
        <v>76</v>
      </c>
      <c r="F17" s="43">
        <v>7.3671479370000004</v>
      </c>
      <c r="G17" s="44">
        <v>1.960557651</v>
      </c>
      <c r="H17" s="44">
        <v>-1.3370306169999999</v>
      </c>
      <c r="I17" s="101">
        <f t="shared" si="1"/>
        <v>-0.63185624329492862</v>
      </c>
    </row>
    <row r="18" spans="1:9">
      <c r="A18" s="1" t="s">
        <v>75</v>
      </c>
      <c r="B18" s="41" t="s">
        <v>74</v>
      </c>
      <c r="C18" s="42">
        <v>68.549637169999997</v>
      </c>
      <c r="D18" s="73">
        <f t="shared" si="0"/>
        <v>68549.637170000002</v>
      </c>
      <c r="E18" s="41" t="s">
        <v>76</v>
      </c>
      <c r="F18" s="43">
        <v>7.5910603910000001</v>
      </c>
      <c r="G18" s="44">
        <v>1.7271125899999999</v>
      </c>
      <c r="H18" s="44">
        <v>-1.1131181630000002</v>
      </c>
      <c r="I18" s="101">
        <f t="shared" si="1"/>
        <v>-0.52443815705935248</v>
      </c>
    </row>
    <row r="19" spans="1:9">
      <c r="F19" s="47">
        <f>AVERAGE(F2:F18)</f>
        <v>8.6842490645294124</v>
      </c>
    </row>
    <row r="20" spans="1:9">
      <c r="F20" s="5">
        <f>STDEV(F2:F18)</f>
        <v>2.0844949096030114</v>
      </c>
    </row>
    <row r="24" spans="1:9">
      <c r="H24" s="44"/>
    </row>
    <row r="25" spans="1:9">
      <c r="H25" s="44"/>
    </row>
    <row r="26" spans="1:9">
      <c r="H26" s="44"/>
    </row>
    <row r="27" spans="1:9">
      <c r="H27" s="44"/>
    </row>
    <row r="28" spans="1:9">
      <c r="H28" s="44"/>
    </row>
    <row r="29" spans="1:9">
      <c r="H29" s="44"/>
    </row>
    <row r="30" spans="1:9">
      <c r="H30" s="44"/>
    </row>
    <row r="31" spans="1:9">
      <c r="H31" s="44"/>
    </row>
    <row r="32" spans="1:9">
      <c r="H32" s="44"/>
    </row>
    <row r="33" spans="8:8">
      <c r="H33" s="44"/>
    </row>
    <row r="34" spans="8:8">
      <c r="H34" s="44"/>
    </row>
    <row r="35" spans="8:8">
      <c r="H35" s="44"/>
    </row>
    <row r="36" spans="8:8">
      <c r="H36" s="44"/>
    </row>
    <row r="37" spans="8:8">
      <c r="H37" s="44"/>
    </row>
    <row r="38" spans="8:8">
      <c r="H38" s="44"/>
    </row>
    <row r="39" spans="8:8">
      <c r="H39" s="44"/>
    </row>
    <row r="40" spans="8:8">
      <c r="H40" s="44"/>
    </row>
  </sheetData>
  <phoneticPr fontId="1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4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17.5" style="2" customWidth="1"/>
    <col min="2" max="2" width="14.6640625" style="2" customWidth="1"/>
    <col min="3" max="3" width="9.6640625" style="2" customWidth="1"/>
    <col min="4" max="4" width="11.33203125" style="45" customWidth="1"/>
    <col min="5" max="5" width="12.6640625" style="2" customWidth="1"/>
    <col min="6" max="6" width="16.83203125" style="2" customWidth="1"/>
    <col min="7" max="7" width="22.5" style="2" customWidth="1"/>
    <col min="8" max="8" width="14.1640625" style="2" customWidth="1"/>
    <col min="9" max="9" width="16.83203125" style="101" customWidth="1"/>
    <col min="10" max="10" width="13" style="2" customWidth="1"/>
    <col min="11" max="11" width="11.83203125" style="89" customWidth="1"/>
    <col min="12" max="12" width="13" style="2" customWidth="1"/>
    <col min="13" max="13" width="11.83203125" style="89" customWidth="1"/>
    <col min="14" max="14" width="13" style="2" customWidth="1"/>
    <col min="15" max="15" width="15" style="89" customWidth="1"/>
    <col min="16" max="16" width="13" style="2" customWidth="1"/>
    <col min="17" max="17" width="14" style="89" customWidth="1"/>
    <col min="18" max="16384" width="10.83203125" style="2"/>
  </cols>
  <sheetData>
    <row r="1" spans="1:17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68" t="s">
        <v>69</v>
      </c>
      <c r="H1" s="8" t="s">
        <v>23</v>
      </c>
      <c r="I1" s="100" t="s">
        <v>17</v>
      </c>
      <c r="J1" s="8" t="s">
        <v>10</v>
      </c>
      <c r="K1" s="87" t="s">
        <v>11</v>
      </c>
      <c r="L1" s="8" t="s">
        <v>10</v>
      </c>
      <c r="M1" s="87" t="s">
        <v>14</v>
      </c>
      <c r="N1" s="8" t="s">
        <v>10</v>
      </c>
      <c r="O1" s="87" t="s">
        <v>15</v>
      </c>
      <c r="P1" s="8" t="s">
        <v>10</v>
      </c>
      <c r="Q1" s="87" t="s">
        <v>16</v>
      </c>
    </row>
    <row r="2" spans="1:17">
      <c r="A2" s="1" t="s">
        <v>75</v>
      </c>
      <c r="B2" s="41" t="s">
        <v>74</v>
      </c>
      <c r="C2" s="42">
        <v>65.720840223463696</v>
      </c>
      <c r="D2" s="73">
        <f t="shared" ref="D2:D22" si="0">C2*1000</f>
        <v>65720.840223463703</v>
      </c>
      <c r="E2" s="41" t="s">
        <v>78</v>
      </c>
      <c r="F2" s="43">
        <v>8.68</v>
      </c>
      <c r="G2" s="44">
        <v>0.9822586283708159</v>
      </c>
      <c r="H2" s="30">
        <v>-1.2948663677499983</v>
      </c>
      <c r="I2" s="101">
        <f t="shared" ref="I2:I22" si="1">(F2-7.66666667)/1.882137969</f>
        <v>0.53839481838751435</v>
      </c>
      <c r="J2" s="3">
        <v>1.5726796064799999</v>
      </c>
      <c r="K2" s="88">
        <v>66200</v>
      </c>
      <c r="L2" s="3">
        <v>0.31214502324499999</v>
      </c>
      <c r="M2" s="88">
        <v>66300</v>
      </c>
      <c r="N2" s="3">
        <v>1.2778021802599999</v>
      </c>
      <c r="O2" s="88">
        <v>66200</v>
      </c>
      <c r="P2" s="3">
        <v>0.29487742621500002</v>
      </c>
      <c r="Q2" s="88">
        <v>66250</v>
      </c>
    </row>
    <row r="3" spans="1:17">
      <c r="A3" s="1" t="s">
        <v>75</v>
      </c>
      <c r="B3" s="41" t="s">
        <v>74</v>
      </c>
      <c r="C3" s="42">
        <v>66.035870391061465</v>
      </c>
      <c r="D3" s="73">
        <f t="shared" si="0"/>
        <v>66035.870391061471</v>
      </c>
      <c r="E3" s="41" t="s">
        <v>78</v>
      </c>
      <c r="F3" s="43">
        <v>9.98</v>
      </c>
      <c r="G3" s="44">
        <v>1.31047020219869</v>
      </c>
      <c r="H3" s="30">
        <v>0</v>
      </c>
      <c r="I3" s="101">
        <f t="shared" si="1"/>
        <v>1.2290986995119701</v>
      </c>
      <c r="J3" s="3">
        <v>0.20853944106200001</v>
      </c>
      <c r="K3" s="88">
        <v>66400</v>
      </c>
      <c r="L3" s="3">
        <v>6.6413834732999999E-2</v>
      </c>
      <c r="M3" s="88">
        <v>66450</v>
      </c>
      <c r="N3" s="3">
        <v>0.456927182963</v>
      </c>
      <c r="O3" s="88">
        <v>66300</v>
      </c>
      <c r="P3" s="3">
        <v>0.21783737792399999</v>
      </c>
      <c r="Q3" s="88">
        <v>66350</v>
      </c>
    </row>
    <row r="4" spans="1:17">
      <c r="A4" s="1" t="s">
        <v>75</v>
      </c>
      <c r="B4" s="41" t="s">
        <v>74</v>
      </c>
      <c r="C4" s="42">
        <v>66.157119457013579</v>
      </c>
      <c r="D4" s="73">
        <f t="shared" si="0"/>
        <v>66157.119457013585</v>
      </c>
      <c r="E4" s="41" t="s">
        <v>78</v>
      </c>
      <c r="F4" s="43">
        <v>12.42</v>
      </c>
      <c r="G4" s="44">
        <v>3.6176962979946055</v>
      </c>
      <c r="H4" s="30">
        <v>2.4453899112500004</v>
      </c>
      <c r="I4" s="101">
        <f t="shared" si="1"/>
        <v>2.5254967533147941</v>
      </c>
      <c r="J4" s="3">
        <v>0.16470631013799999</v>
      </c>
      <c r="K4" s="88">
        <v>66600</v>
      </c>
      <c r="L4" s="3">
        <v>0.16470631013799999</v>
      </c>
      <c r="M4" s="88">
        <v>66600</v>
      </c>
      <c r="N4" s="3">
        <v>0.12485800929800001</v>
      </c>
      <c r="O4" s="88">
        <v>66400</v>
      </c>
      <c r="P4" s="3">
        <v>0.57115897870400001</v>
      </c>
      <c r="Q4" s="88">
        <v>66850</v>
      </c>
    </row>
    <row r="5" spans="1:17">
      <c r="A5" s="1" t="s">
        <v>75</v>
      </c>
      <c r="B5" s="41" t="s">
        <v>74</v>
      </c>
      <c r="C5" s="42">
        <v>66.237304977375572</v>
      </c>
      <c r="D5" s="73">
        <f t="shared" si="0"/>
        <v>66237.304977375577</v>
      </c>
      <c r="E5" s="41" t="s">
        <v>78</v>
      </c>
      <c r="F5" s="43">
        <v>7.61</v>
      </c>
      <c r="G5" s="44">
        <v>1.8845014527718147</v>
      </c>
      <c r="H5" s="30">
        <v>-2.3638144529642844</v>
      </c>
      <c r="I5" s="101">
        <f t="shared" si="1"/>
        <v>-3.0107606845691005E-2</v>
      </c>
      <c r="J5" s="3">
        <v>0.57115897870400001</v>
      </c>
      <c r="K5" s="88">
        <v>66800</v>
      </c>
      <c r="L5" s="3">
        <v>0.57115897870400001</v>
      </c>
      <c r="M5" s="88">
        <v>66900</v>
      </c>
      <c r="N5" s="3">
        <v>4.5161407618500002E-2</v>
      </c>
      <c r="O5" s="88">
        <v>66500</v>
      </c>
    </row>
    <row r="6" spans="1:17">
      <c r="A6" s="1" t="s">
        <v>75</v>
      </c>
      <c r="B6" s="41" t="s">
        <v>74</v>
      </c>
      <c r="C6" s="42">
        <v>66.266463348416295</v>
      </c>
      <c r="D6" s="73">
        <f t="shared" si="0"/>
        <v>66266.463348416291</v>
      </c>
      <c r="E6" s="41" t="s">
        <v>78</v>
      </c>
      <c r="F6" s="43">
        <v>6.5</v>
      </c>
      <c r="G6" s="44">
        <v>1.1413555500352937</v>
      </c>
      <c r="H6" s="30">
        <v>-3.4774665164166647</v>
      </c>
      <c r="I6" s="101">
        <f t="shared" si="1"/>
        <v>-0.61986245919041849</v>
      </c>
      <c r="J6" s="3">
        <v>0.265655338932</v>
      </c>
      <c r="K6" s="88">
        <v>68400</v>
      </c>
    </row>
    <row r="7" spans="1:17">
      <c r="A7" s="1" t="s">
        <v>75</v>
      </c>
      <c r="B7" s="41" t="s">
        <v>74</v>
      </c>
      <c r="C7" s="42">
        <v>66.334499547511314</v>
      </c>
      <c r="D7" s="73">
        <f t="shared" si="0"/>
        <v>66334.49954751131</v>
      </c>
      <c r="E7" s="41" t="s">
        <v>78</v>
      </c>
      <c r="F7" s="43">
        <v>8.2200000000000006</v>
      </c>
      <c r="G7" s="44">
        <v>3.4618535720519565</v>
      </c>
      <c r="H7" s="30">
        <v>-1.7566882306499991</v>
      </c>
      <c r="I7" s="101">
        <f t="shared" si="1"/>
        <v>0.29399190660501517</v>
      </c>
    </row>
    <row r="8" spans="1:17">
      <c r="A8" s="1" t="s">
        <v>75</v>
      </c>
      <c r="B8" s="41" t="s">
        <v>74</v>
      </c>
      <c r="C8" s="42">
        <v>66.368517647058823</v>
      </c>
      <c r="D8" s="73">
        <f t="shared" si="0"/>
        <v>66368.517647058819</v>
      </c>
      <c r="E8" s="41" t="s">
        <v>78</v>
      </c>
      <c r="F8" s="43">
        <v>7.4</v>
      </c>
      <c r="G8" s="44">
        <v>5.0092083263418736</v>
      </c>
      <c r="H8" s="30">
        <v>-2.5730084304374978</v>
      </c>
      <c r="I8" s="101">
        <f t="shared" si="1"/>
        <v>-0.14168284918117993</v>
      </c>
    </row>
    <row r="9" spans="1:17">
      <c r="A9" s="1" t="s">
        <v>75</v>
      </c>
      <c r="B9" s="41" t="s">
        <v>74</v>
      </c>
      <c r="C9" s="42">
        <v>66.418733693693696</v>
      </c>
      <c r="D9" s="73">
        <f t="shared" si="0"/>
        <v>66418.733693693692</v>
      </c>
      <c r="E9" s="41" t="s">
        <v>78</v>
      </c>
      <c r="F9" s="43">
        <v>7.87</v>
      </c>
      <c r="G9" s="44">
        <v>0.56766661241082328</v>
      </c>
      <c r="H9" s="30">
        <v>-2.1070028844166657</v>
      </c>
      <c r="I9" s="101">
        <f t="shared" si="1"/>
        <v>0.10803316937919998</v>
      </c>
    </row>
    <row r="10" spans="1:17">
      <c r="A10" s="1" t="s">
        <v>75</v>
      </c>
      <c r="B10" s="41" t="s">
        <v>74</v>
      </c>
      <c r="C10" s="42">
        <v>66.452749909909912</v>
      </c>
      <c r="D10" s="73">
        <f t="shared" si="0"/>
        <v>66452.749909909908</v>
      </c>
      <c r="E10" s="41" t="s">
        <v>78</v>
      </c>
      <c r="F10" s="43">
        <v>7.62</v>
      </c>
      <c r="G10" s="44">
        <v>1.5935208851430849</v>
      </c>
      <c r="H10" s="30">
        <v>-2.360681980999999</v>
      </c>
      <c r="I10" s="101">
        <f t="shared" si="1"/>
        <v>-2.4794500067810692E-2</v>
      </c>
    </row>
    <row r="11" spans="1:17">
      <c r="A11" s="1" t="s">
        <v>75</v>
      </c>
      <c r="B11" s="41" t="s">
        <v>74</v>
      </c>
      <c r="C11" s="42">
        <v>66.533416936936931</v>
      </c>
      <c r="D11" s="73">
        <f t="shared" si="0"/>
        <v>66533.416936936934</v>
      </c>
      <c r="E11" s="41" t="s">
        <v>78</v>
      </c>
      <c r="F11" s="43">
        <v>7.79</v>
      </c>
      <c r="G11" s="44">
        <v>3.9817630000321413</v>
      </c>
      <c r="H11" s="30">
        <v>-2.1905993665357135</v>
      </c>
      <c r="I11" s="101">
        <f t="shared" si="1"/>
        <v>6.5528315156156522E-2</v>
      </c>
    </row>
    <row r="12" spans="1:17">
      <c r="A12" s="1" t="s">
        <v>75</v>
      </c>
      <c r="B12" s="41" t="s">
        <v>74</v>
      </c>
      <c r="C12" s="42">
        <v>66.630606126126125</v>
      </c>
      <c r="D12" s="73">
        <f t="shared" si="0"/>
        <v>66630.60612612612</v>
      </c>
      <c r="E12" s="41" t="s">
        <v>78</v>
      </c>
      <c r="F12" s="43">
        <v>7.17</v>
      </c>
      <c r="G12" s="44">
        <v>0.22299787719003819</v>
      </c>
      <c r="H12" s="30">
        <v>-2.8102463982499994</v>
      </c>
      <c r="I12" s="101">
        <f t="shared" si="1"/>
        <v>-0.26388430507242999</v>
      </c>
    </row>
    <row r="13" spans="1:17">
      <c r="A13" s="1" t="s">
        <v>75</v>
      </c>
      <c r="B13" s="41" t="s">
        <v>74</v>
      </c>
      <c r="C13" s="42">
        <v>66.733626666666666</v>
      </c>
      <c r="D13" s="73">
        <f t="shared" si="0"/>
        <v>66733.626666666663</v>
      </c>
      <c r="E13" s="41" t="s">
        <v>78</v>
      </c>
      <c r="F13" s="43">
        <v>7.65</v>
      </c>
      <c r="G13" s="44">
        <v>5.2796818915177308</v>
      </c>
      <c r="H13" s="30">
        <v>-2.3267540482499989</v>
      </c>
      <c r="I13" s="101">
        <f t="shared" si="1"/>
        <v>-8.8551797341692804E-3</v>
      </c>
    </row>
    <row r="14" spans="1:17">
      <c r="A14" s="1" t="s">
        <v>75</v>
      </c>
      <c r="B14" s="41" t="s">
        <v>74</v>
      </c>
      <c r="C14" s="42">
        <v>66.840534774774767</v>
      </c>
      <c r="D14" s="73">
        <f t="shared" si="0"/>
        <v>66840.534774774773</v>
      </c>
      <c r="E14" s="41" t="s">
        <v>78</v>
      </c>
      <c r="F14" s="43">
        <v>9.3800000000000008</v>
      </c>
      <c r="G14" s="44">
        <v>5.3382230203412098</v>
      </c>
      <c r="H14" s="30">
        <v>-0.59996752174999912</v>
      </c>
      <c r="I14" s="101">
        <f t="shared" si="1"/>
        <v>0.91031229283914472</v>
      </c>
    </row>
    <row r="15" spans="1:17">
      <c r="A15" s="1" t="s">
        <v>75</v>
      </c>
      <c r="B15" s="41" t="s">
        <v>74</v>
      </c>
      <c r="C15" s="42">
        <v>66.856085045045035</v>
      </c>
      <c r="D15" s="73">
        <f t="shared" si="0"/>
        <v>66856.085045045038</v>
      </c>
      <c r="E15" s="41" t="s">
        <v>78</v>
      </c>
      <c r="F15" s="43">
        <v>7.23</v>
      </c>
      <c r="G15" s="44">
        <v>1.2937021481586792</v>
      </c>
      <c r="H15" s="30">
        <v>-2.7414212326500005</v>
      </c>
      <c r="I15" s="101">
        <f t="shared" si="1"/>
        <v>-0.23200566440514717</v>
      </c>
    </row>
    <row r="16" spans="1:17">
      <c r="A16" s="1" t="s">
        <v>75</v>
      </c>
      <c r="B16" s="41" t="s">
        <v>74</v>
      </c>
      <c r="C16" s="42">
        <v>66.993121801801806</v>
      </c>
      <c r="D16" s="73">
        <f t="shared" si="0"/>
        <v>66993.121801801812</v>
      </c>
      <c r="E16" s="41" t="s">
        <v>78</v>
      </c>
      <c r="F16" s="43">
        <v>7.22</v>
      </c>
      <c r="G16" s="44">
        <v>2.8206354960696638</v>
      </c>
      <c r="H16" s="30">
        <v>-2.7525244340499979</v>
      </c>
      <c r="I16" s="101">
        <f t="shared" si="1"/>
        <v>-0.23731877118302794</v>
      </c>
    </row>
    <row r="17" spans="1:9">
      <c r="A17" s="1" t="s">
        <v>75</v>
      </c>
      <c r="B17" s="41" t="s">
        <v>74</v>
      </c>
      <c r="C17" s="42">
        <v>67.318705585585576</v>
      </c>
      <c r="D17" s="73">
        <f t="shared" si="0"/>
        <v>67318.705585585572</v>
      </c>
      <c r="E17" s="41" t="s">
        <v>78</v>
      </c>
      <c r="F17" s="43">
        <v>9.2899999999999991</v>
      </c>
      <c r="G17" s="44">
        <v>2.5702483021791069</v>
      </c>
      <c r="H17" s="30">
        <v>-0.68215050391666487</v>
      </c>
      <c r="I17" s="101">
        <f t="shared" si="1"/>
        <v>0.86249433183822</v>
      </c>
    </row>
    <row r="18" spans="1:9">
      <c r="A18" s="1" t="s">
        <v>75</v>
      </c>
      <c r="B18" s="41" t="s">
        <v>74</v>
      </c>
      <c r="C18" s="42">
        <v>67.646233153153148</v>
      </c>
      <c r="D18" s="73">
        <f t="shared" si="0"/>
        <v>67646.233153153153</v>
      </c>
      <c r="E18" s="41" t="s">
        <v>78</v>
      </c>
      <c r="F18" s="43">
        <v>9.23</v>
      </c>
      <c r="G18" s="44">
        <v>7.7733512298051135</v>
      </c>
      <c r="H18" s="30">
        <v>-0.74338555658333227</v>
      </c>
      <c r="I18" s="101">
        <f t="shared" si="1"/>
        <v>0.83061569117093814</v>
      </c>
    </row>
    <row r="19" spans="1:9">
      <c r="A19" s="1" t="s">
        <v>75</v>
      </c>
      <c r="B19" s="41" t="s">
        <v>74</v>
      </c>
      <c r="C19" s="42">
        <v>67.818258018018014</v>
      </c>
      <c r="D19" s="73">
        <f t="shared" si="0"/>
        <v>67818.258018018008</v>
      </c>
      <c r="E19" s="41" t="s">
        <v>78</v>
      </c>
      <c r="F19" s="43">
        <v>4.08</v>
      </c>
      <c r="G19" s="44">
        <v>1.1561479034189164</v>
      </c>
      <c r="H19" s="30">
        <v>-5.8946661589166647</v>
      </c>
      <c r="I19" s="101">
        <f t="shared" si="1"/>
        <v>-1.9056342994374817</v>
      </c>
    </row>
    <row r="20" spans="1:9">
      <c r="A20" s="1" t="s">
        <v>75</v>
      </c>
      <c r="B20" s="41" t="s">
        <v>74</v>
      </c>
      <c r="C20" s="42">
        <v>68.379035398230087</v>
      </c>
      <c r="D20" s="73">
        <f t="shared" si="0"/>
        <v>68379.035398230088</v>
      </c>
      <c r="E20" s="41" t="s">
        <v>78</v>
      </c>
      <c r="F20" s="43">
        <v>5.59</v>
      </c>
      <c r="G20" s="44">
        <v>0.55670905726837083</v>
      </c>
      <c r="H20" s="30">
        <v>-4.3834949102499987</v>
      </c>
      <c r="I20" s="101">
        <f t="shared" si="1"/>
        <v>-1.1033551759775375</v>
      </c>
    </row>
    <row r="21" spans="1:9">
      <c r="A21" s="1" t="s">
        <v>75</v>
      </c>
      <c r="B21" s="41" t="s">
        <v>74</v>
      </c>
      <c r="C21" s="42">
        <v>68.427778761061944</v>
      </c>
      <c r="D21" s="73">
        <f t="shared" si="0"/>
        <v>68427.778761061942</v>
      </c>
      <c r="E21" s="41" t="s">
        <v>78</v>
      </c>
      <c r="F21" s="43">
        <v>4.59</v>
      </c>
      <c r="G21" s="44">
        <v>0.94527517056075483</v>
      </c>
      <c r="H21" s="30">
        <v>-5.3854037857499986</v>
      </c>
      <c r="I21" s="101">
        <f t="shared" si="1"/>
        <v>-1.63466585376558</v>
      </c>
    </row>
    <row r="22" spans="1:9">
      <c r="A22" s="1" t="s">
        <v>75</v>
      </c>
      <c r="B22" s="41" t="s">
        <v>74</v>
      </c>
      <c r="C22" s="42">
        <v>68.549637168141601</v>
      </c>
      <c r="D22" s="73">
        <f t="shared" si="0"/>
        <v>68549.637168141606</v>
      </c>
      <c r="E22" s="41" t="s">
        <v>78</v>
      </c>
      <c r="F22" s="43">
        <v>5.48</v>
      </c>
      <c r="G22" s="44">
        <v>0.20406150787844418</v>
      </c>
      <c r="H22" s="30">
        <v>-4.5007360592499985</v>
      </c>
      <c r="I22" s="101">
        <f t="shared" si="1"/>
        <v>-1.1617993505342219</v>
      </c>
    </row>
    <row r="23" spans="1:9">
      <c r="F23" s="47">
        <f>AVERAGE(F2:F22)</f>
        <v>7.666666666666667</v>
      </c>
    </row>
    <row r="24" spans="1:9">
      <c r="F24" s="5">
        <f>STDEV(F2:F22)</f>
        <v>1.8821379687295399</v>
      </c>
    </row>
  </sheetData>
  <phoneticPr fontId="1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43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/>
  <cols>
    <col min="1" max="1" width="20.6640625" style="2" customWidth="1"/>
    <col min="2" max="2" width="6.6640625" style="2" customWidth="1"/>
    <col min="3" max="3" width="9.6640625" style="2" customWidth="1"/>
    <col min="4" max="4" width="9.6640625" style="45" customWidth="1"/>
    <col min="5" max="5" width="23.33203125" style="2" customWidth="1"/>
    <col min="6" max="6" width="16.83203125" style="2" customWidth="1"/>
    <col min="7" max="7" width="14.16406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0.832031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3" t="s">
        <v>79</v>
      </c>
      <c r="B2" s="3" t="s">
        <v>80</v>
      </c>
      <c r="C2" s="34">
        <v>65.803750000000008</v>
      </c>
      <c r="D2" s="28">
        <f>C2*1000</f>
        <v>65803.750000000015</v>
      </c>
      <c r="E2" s="5" t="s">
        <v>81</v>
      </c>
      <c r="F2" s="55">
        <v>22.450000000000003</v>
      </c>
      <c r="G2" s="1">
        <v>4.0499999999999972</v>
      </c>
      <c r="H2" s="101">
        <f>(F2-22.585)/3.137943962</f>
        <v>-4.3021800782559037E-2</v>
      </c>
      <c r="I2" s="3">
        <v>1.3623570248500001</v>
      </c>
      <c r="J2" s="88">
        <v>65800</v>
      </c>
      <c r="K2" s="3">
        <v>0.96799051765499999</v>
      </c>
      <c r="L2" s="88">
        <v>65850</v>
      </c>
      <c r="M2" s="3">
        <v>0.50192100915399995</v>
      </c>
      <c r="N2" s="88">
        <v>65800</v>
      </c>
      <c r="O2" s="3">
        <v>0.50192100915399995</v>
      </c>
      <c r="P2" s="88">
        <v>65800</v>
      </c>
    </row>
    <row r="3" spans="1:16">
      <c r="A3" s="3" t="s">
        <v>79</v>
      </c>
      <c r="B3" s="3" t="s">
        <v>80</v>
      </c>
      <c r="C3" s="34">
        <v>65.81750000000001</v>
      </c>
      <c r="D3" s="28">
        <f t="shared" ref="D3:D41" si="0">C3*1000</f>
        <v>65817.500000000015</v>
      </c>
      <c r="E3" s="5" t="s">
        <v>81</v>
      </c>
      <c r="F3" s="55">
        <v>19.299999999999997</v>
      </c>
      <c r="G3" s="1">
        <v>0.89999999999999147</v>
      </c>
      <c r="H3" s="101">
        <f t="shared" ref="H3:H41" si="1">(F3-22.585)/3.137943962</f>
        <v>-1.0468638190422865</v>
      </c>
      <c r="I3" s="3">
        <v>1.2906540235399999</v>
      </c>
      <c r="J3" s="88">
        <v>66000</v>
      </c>
      <c r="K3" s="3">
        <v>1.18309952158</v>
      </c>
      <c r="L3" s="88">
        <v>66000</v>
      </c>
      <c r="M3" s="3">
        <v>0.64532701176999996</v>
      </c>
      <c r="N3" s="88">
        <v>65900</v>
      </c>
      <c r="O3" s="3">
        <v>0.93213901700099999</v>
      </c>
      <c r="P3" s="88">
        <v>65850</v>
      </c>
    </row>
    <row r="4" spans="1:16">
      <c r="A4" s="3" t="s">
        <v>79</v>
      </c>
      <c r="B4" s="3" t="s">
        <v>80</v>
      </c>
      <c r="C4" s="34">
        <v>65.84031250000001</v>
      </c>
      <c r="D4" s="28">
        <f t="shared" si="0"/>
        <v>65840.312500000015</v>
      </c>
      <c r="E4" s="5" t="s">
        <v>81</v>
      </c>
      <c r="F4" s="55">
        <v>19.299999999999997</v>
      </c>
      <c r="G4" s="1">
        <v>0.89999999999999147</v>
      </c>
      <c r="H4" s="101">
        <f t="shared" si="1"/>
        <v>-1.0468638190422865</v>
      </c>
      <c r="K4">
        <v>0</v>
      </c>
      <c r="L4">
        <v>66150</v>
      </c>
      <c r="M4" s="3">
        <v>1.0396935189600001</v>
      </c>
      <c r="N4" s="88">
        <v>66000</v>
      </c>
      <c r="O4" s="3">
        <v>0.71703001307799996</v>
      </c>
      <c r="P4" s="88">
        <v>65900</v>
      </c>
    </row>
    <row r="5" spans="1:16">
      <c r="A5" s="3" t="s">
        <v>79</v>
      </c>
      <c r="B5" s="3" t="s">
        <v>80</v>
      </c>
      <c r="C5" s="34">
        <v>65.863124999999997</v>
      </c>
      <c r="D5" s="28">
        <f t="shared" si="0"/>
        <v>65863.125</v>
      </c>
      <c r="E5" s="5" t="s">
        <v>81</v>
      </c>
      <c r="F5" s="55">
        <v>21.549999999999997</v>
      </c>
      <c r="G5" s="1">
        <v>3.1499999999999915</v>
      </c>
      <c r="H5" s="101">
        <f t="shared" si="1"/>
        <v>-0.32983380599962531</v>
      </c>
      <c r="M5" s="3">
        <v>0.25096050457699998</v>
      </c>
      <c r="N5" s="88">
        <v>66100</v>
      </c>
      <c r="O5" s="3">
        <v>0.57362401046199996</v>
      </c>
      <c r="P5" s="88">
        <v>65950</v>
      </c>
    </row>
    <row r="6" spans="1:16">
      <c r="A6" s="3" t="s">
        <v>79</v>
      </c>
      <c r="B6" s="3" t="s">
        <v>80</v>
      </c>
      <c r="C6" s="34">
        <v>65.863124999999997</v>
      </c>
      <c r="D6" s="28">
        <f t="shared" si="0"/>
        <v>65863.125</v>
      </c>
      <c r="E6" s="5" t="s">
        <v>81</v>
      </c>
      <c r="F6" s="55">
        <v>15.700000000000003</v>
      </c>
      <c r="G6" s="1">
        <v>-2.7000000000000028</v>
      </c>
      <c r="H6" s="101">
        <f t="shared" si="1"/>
        <v>-2.1941118399105428</v>
      </c>
      <c r="O6" s="3">
        <v>0.43021800784699998</v>
      </c>
      <c r="P6" s="88">
        <v>66000</v>
      </c>
    </row>
    <row r="7" spans="1:16">
      <c r="A7" s="3" t="s">
        <v>79</v>
      </c>
      <c r="B7" s="3" t="s">
        <v>80</v>
      </c>
      <c r="C7" s="34">
        <v>65.886250000000004</v>
      </c>
      <c r="D7" s="28">
        <f t="shared" si="0"/>
        <v>65886.25</v>
      </c>
      <c r="E7" s="5" t="s">
        <v>81</v>
      </c>
      <c r="F7" s="55">
        <v>15.700000000000003</v>
      </c>
      <c r="G7" s="1">
        <v>-2.7000000000000028</v>
      </c>
      <c r="H7" s="101">
        <f t="shared" si="1"/>
        <v>-2.1941118399105428</v>
      </c>
      <c r="O7" s="3">
        <v>1.0038420183100001</v>
      </c>
      <c r="P7" s="88">
        <v>66050</v>
      </c>
    </row>
    <row r="8" spans="1:16">
      <c r="A8" s="3" t="s">
        <v>79</v>
      </c>
      <c r="B8" s="3" t="s">
        <v>80</v>
      </c>
      <c r="C8" s="34">
        <v>65.897500000000008</v>
      </c>
      <c r="D8" s="28">
        <f t="shared" si="0"/>
        <v>65897.500000000015</v>
      </c>
      <c r="E8" s="5" t="s">
        <v>81</v>
      </c>
      <c r="F8" s="55">
        <v>22.000000000000014</v>
      </c>
      <c r="G8" s="1">
        <v>3.6000000000000085</v>
      </c>
      <c r="H8" s="101">
        <f t="shared" si="1"/>
        <v>-0.18642780339108767</v>
      </c>
      <c r="O8">
        <v>0</v>
      </c>
      <c r="P8">
        <v>66100</v>
      </c>
    </row>
    <row r="9" spans="1:16">
      <c r="A9" s="3" t="s">
        <v>79</v>
      </c>
      <c r="B9" s="3" t="s">
        <v>80</v>
      </c>
      <c r="C9" s="34">
        <v>65.909062500000005</v>
      </c>
      <c r="D9" s="28">
        <f t="shared" si="0"/>
        <v>65909.0625</v>
      </c>
      <c r="E9" s="5" t="s">
        <v>81</v>
      </c>
      <c r="F9" s="55">
        <v>21.100000000000009</v>
      </c>
      <c r="G9" s="1">
        <v>2.7000000000000028</v>
      </c>
      <c r="H9" s="101">
        <f t="shared" si="1"/>
        <v>-0.47323980860815396</v>
      </c>
    </row>
    <row r="10" spans="1:16">
      <c r="A10" s="3" t="s">
        <v>79</v>
      </c>
      <c r="B10" s="3" t="s">
        <v>80</v>
      </c>
      <c r="C10" s="34">
        <v>65.909062500000005</v>
      </c>
      <c r="D10" s="28">
        <f t="shared" si="0"/>
        <v>65909.0625</v>
      </c>
      <c r="E10" s="5" t="s">
        <v>81</v>
      </c>
      <c r="F10" s="55">
        <v>23.350000000000009</v>
      </c>
      <c r="G10" s="1">
        <v>4.9500000000000028</v>
      </c>
      <c r="H10" s="101">
        <f t="shared" si="1"/>
        <v>0.24379020443450725</v>
      </c>
    </row>
    <row r="11" spans="1:16">
      <c r="A11" s="3" t="s">
        <v>79</v>
      </c>
      <c r="B11" s="3" t="s">
        <v>80</v>
      </c>
      <c r="C11" s="34">
        <v>65.920937500000008</v>
      </c>
      <c r="D11" s="28">
        <f t="shared" si="0"/>
        <v>65920.937500000015</v>
      </c>
      <c r="E11" s="5" t="s">
        <v>81</v>
      </c>
      <c r="F11" s="55">
        <v>26.95</v>
      </c>
      <c r="G11" s="1">
        <v>8.5499999999999972</v>
      </c>
      <c r="H11" s="101">
        <f t="shared" si="1"/>
        <v>1.3910382253027622</v>
      </c>
    </row>
    <row r="12" spans="1:16">
      <c r="A12" s="3" t="s">
        <v>79</v>
      </c>
      <c r="B12" s="3" t="s">
        <v>80</v>
      </c>
      <c r="C12" s="34">
        <v>65.936562500000008</v>
      </c>
      <c r="D12" s="28">
        <f t="shared" si="0"/>
        <v>65936.562500000015</v>
      </c>
      <c r="E12" s="5" t="s">
        <v>81</v>
      </c>
      <c r="F12" s="55">
        <v>22.9</v>
      </c>
      <c r="G12" s="1">
        <v>4.5</v>
      </c>
      <c r="H12" s="101">
        <f t="shared" si="1"/>
        <v>0.10038420182597184</v>
      </c>
    </row>
    <row r="13" spans="1:16">
      <c r="A13" s="3" t="s">
        <v>79</v>
      </c>
      <c r="B13" s="3" t="s">
        <v>80</v>
      </c>
      <c r="C13" s="34">
        <v>65.939687500000005</v>
      </c>
      <c r="D13" s="28">
        <f t="shared" si="0"/>
        <v>65939.6875</v>
      </c>
      <c r="E13" s="5" t="s">
        <v>81</v>
      </c>
      <c r="F13" s="29">
        <v>23.35</v>
      </c>
      <c r="G13" s="1">
        <v>4.9500000000000028</v>
      </c>
      <c r="H13" s="101">
        <f t="shared" si="1"/>
        <v>0.243790204434505</v>
      </c>
    </row>
    <row r="14" spans="1:16">
      <c r="A14" s="3" t="s">
        <v>79</v>
      </c>
      <c r="B14" s="3" t="s">
        <v>80</v>
      </c>
      <c r="C14" s="34">
        <v>65.945937499999999</v>
      </c>
      <c r="D14" s="28">
        <f t="shared" si="0"/>
        <v>65945.9375</v>
      </c>
      <c r="E14" s="5" t="s">
        <v>81</v>
      </c>
      <c r="F14" s="55">
        <v>27.4</v>
      </c>
      <c r="G14" s="1">
        <v>9</v>
      </c>
      <c r="H14" s="101">
        <f t="shared" si="1"/>
        <v>1.5344442279112942</v>
      </c>
    </row>
    <row r="15" spans="1:16">
      <c r="A15" s="3" t="s">
        <v>79</v>
      </c>
      <c r="B15" s="3" t="s">
        <v>80</v>
      </c>
      <c r="C15" s="34">
        <v>65.949062499999997</v>
      </c>
      <c r="D15" s="28">
        <f t="shared" si="0"/>
        <v>65949.0625</v>
      </c>
      <c r="E15" s="5" t="s">
        <v>81</v>
      </c>
      <c r="F15" s="55">
        <v>23.35</v>
      </c>
      <c r="G15" s="1">
        <v>4.9500000000000028</v>
      </c>
      <c r="H15" s="101">
        <f t="shared" si="1"/>
        <v>0.243790204434505</v>
      </c>
    </row>
    <row r="16" spans="1:16">
      <c r="A16" s="3" t="s">
        <v>79</v>
      </c>
      <c r="B16" s="3" t="s">
        <v>80</v>
      </c>
      <c r="C16" s="34">
        <v>65.952187500000008</v>
      </c>
      <c r="D16" s="28">
        <f t="shared" si="0"/>
        <v>65952.187500000015</v>
      </c>
      <c r="E16" s="5" t="s">
        <v>81</v>
      </c>
      <c r="F16" s="55">
        <v>25.15</v>
      </c>
      <c r="G16" s="1">
        <v>8.1000000000000085</v>
      </c>
      <c r="H16" s="101">
        <f t="shared" si="1"/>
        <v>0.81741421486863308</v>
      </c>
    </row>
    <row r="17" spans="1:8">
      <c r="A17" s="3" t="s">
        <v>79</v>
      </c>
      <c r="B17" s="3" t="s">
        <v>80</v>
      </c>
      <c r="C17" s="34">
        <v>65.961562499999999</v>
      </c>
      <c r="D17" s="28">
        <f t="shared" si="0"/>
        <v>65961.5625</v>
      </c>
      <c r="E17" s="5" t="s">
        <v>81</v>
      </c>
      <c r="F17" s="55">
        <v>23.350000000000009</v>
      </c>
      <c r="G17" s="1">
        <v>4.9500000000000028</v>
      </c>
      <c r="H17" s="101">
        <f t="shared" si="1"/>
        <v>0.24379020443450725</v>
      </c>
    </row>
    <row r="18" spans="1:8">
      <c r="A18" s="3" t="s">
        <v>79</v>
      </c>
      <c r="B18" s="3" t="s">
        <v>80</v>
      </c>
      <c r="C18" s="34">
        <v>65.961562499999999</v>
      </c>
      <c r="D18" s="28">
        <f t="shared" si="0"/>
        <v>65961.5625</v>
      </c>
      <c r="E18" s="5" t="s">
        <v>81</v>
      </c>
      <c r="F18" s="55">
        <v>25.150000000000006</v>
      </c>
      <c r="G18" s="1">
        <v>6.75</v>
      </c>
      <c r="H18" s="101">
        <f t="shared" si="1"/>
        <v>0.8174142148686353</v>
      </c>
    </row>
    <row r="19" spans="1:8">
      <c r="A19" s="3" t="s">
        <v>79</v>
      </c>
      <c r="B19" s="3" t="s">
        <v>80</v>
      </c>
      <c r="C19" s="34">
        <v>65.967812499999994</v>
      </c>
      <c r="D19" s="28">
        <f t="shared" si="0"/>
        <v>65967.8125</v>
      </c>
      <c r="E19" s="5" t="s">
        <v>81</v>
      </c>
      <c r="F19" s="55">
        <v>24.250000000000014</v>
      </c>
      <c r="G19" s="1">
        <v>5.8500000000000085</v>
      </c>
      <c r="H19" s="101">
        <f t="shared" si="1"/>
        <v>0.53060220965157356</v>
      </c>
    </row>
    <row r="20" spans="1:8">
      <c r="A20" s="3" t="s">
        <v>79</v>
      </c>
      <c r="B20" s="3" t="s">
        <v>80</v>
      </c>
      <c r="C20" s="34">
        <v>65.977187499999999</v>
      </c>
      <c r="D20" s="28">
        <f t="shared" si="0"/>
        <v>65977.1875</v>
      </c>
      <c r="E20" s="5" t="s">
        <v>81</v>
      </c>
      <c r="F20" s="55">
        <v>24.700000000000003</v>
      </c>
      <c r="G20" s="1">
        <v>6.2999999999999972</v>
      </c>
      <c r="H20" s="101">
        <f t="shared" si="1"/>
        <v>0.67400821226010221</v>
      </c>
    </row>
    <row r="21" spans="1:8">
      <c r="A21" s="3" t="s">
        <v>79</v>
      </c>
      <c r="B21" s="3" t="s">
        <v>80</v>
      </c>
      <c r="C21" s="34">
        <v>65.984218749999997</v>
      </c>
      <c r="D21" s="28">
        <f t="shared" si="0"/>
        <v>65984.21875</v>
      </c>
      <c r="E21" s="5" t="s">
        <v>81</v>
      </c>
      <c r="F21" s="55">
        <v>21.549999999999997</v>
      </c>
      <c r="G21" s="1">
        <v>3.1499999999999915</v>
      </c>
      <c r="H21" s="101">
        <f t="shared" si="1"/>
        <v>-0.32983380599962531</v>
      </c>
    </row>
    <row r="22" spans="1:8">
      <c r="A22" s="3" t="s">
        <v>79</v>
      </c>
      <c r="B22" s="3" t="s">
        <v>80</v>
      </c>
      <c r="C22" s="34">
        <v>65.987343749999994</v>
      </c>
      <c r="D22" s="28">
        <f t="shared" si="0"/>
        <v>65987.34375</v>
      </c>
      <c r="E22" s="5" t="s">
        <v>81</v>
      </c>
      <c r="F22" s="55">
        <v>28.750000000000014</v>
      </c>
      <c r="G22" s="1">
        <v>10.350000000000009</v>
      </c>
      <c r="H22" s="101">
        <f t="shared" si="1"/>
        <v>1.9646622357368959</v>
      </c>
    </row>
    <row r="23" spans="1:8">
      <c r="A23" s="3" t="s">
        <v>79</v>
      </c>
      <c r="B23" s="3" t="s">
        <v>80</v>
      </c>
      <c r="C23" s="34">
        <v>65.990468750000005</v>
      </c>
      <c r="D23" s="28">
        <f t="shared" si="0"/>
        <v>65990.46875</v>
      </c>
      <c r="E23" s="5" t="s">
        <v>81</v>
      </c>
      <c r="F23" s="55">
        <v>25.150000000000006</v>
      </c>
      <c r="G23" s="1">
        <v>6.75</v>
      </c>
      <c r="H23" s="101">
        <f t="shared" si="1"/>
        <v>0.8174142148686353</v>
      </c>
    </row>
    <row r="24" spans="1:8">
      <c r="A24" s="3" t="s">
        <v>79</v>
      </c>
      <c r="B24" s="3" t="s">
        <v>80</v>
      </c>
      <c r="C24" s="34">
        <v>65.993593750000002</v>
      </c>
      <c r="D24" s="28">
        <f t="shared" si="0"/>
        <v>65993.59375</v>
      </c>
      <c r="E24" s="5" t="s">
        <v>81</v>
      </c>
      <c r="F24" s="55">
        <v>25.150000000000006</v>
      </c>
      <c r="G24" s="1">
        <v>6.75</v>
      </c>
      <c r="H24" s="101">
        <f t="shared" si="1"/>
        <v>0.8174142148686353</v>
      </c>
    </row>
    <row r="25" spans="1:8">
      <c r="A25" s="3" t="s">
        <v>79</v>
      </c>
      <c r="B25" s="3" t="s">
        <v>80</v>
      </c>
      <c r="C25" s="34">
        <v>65.996718749999999</v>
      </c>
      <c r="D25" s="28">
        <f t="shared" si="0"/>
        <v>65996.71875</v>
      </c>
      <c r="E25" s="5" t="s">
        <v>81</v>
      </c>
      <c r="F25" s="55">
        <v>26.049999999999997</v>
      </c>
      <c r="G25" s="1">
        <v>7.6499999999999915</v>
      </c>
      <c r="H25" s="101">
        <f t="shared" si="1"/>
        <v>1.1042262200856972</v>
      </c>
    </row>
    <row r="26" spans="1:8">
      <c r="A26" s="3" t="s">
        <v>79</v>
      </c>
      <c r="B26" s="3" t="s">
        <v>80</v>
      </c>
      <c r="C26" s="34">
        <v>65.999843749999997</v>
      </c>
      <c r="D26" s="28">
        <f t="shared" si="0"/>
        <v>65999.84375</v>
      </c>
      <c r="E26" s="5" t="s">
        <v>81</v>
      </c>
      <c r="F26" s="55">
        <v>25.150000000000006</v>
      </c>
      <c r="G26" s="1">
        <v>6.75</v>
      </c>
      <c r="H26" s="101">
        <f t="shared" si="1"/>
        <v>0.8174142148686353</v>
      </c>
    </row>
    <row r="27" spans="1:8">
      <c r="A27" s="3" t="s">
        <v>79</v>
      </c>
      <c r="B27" s="3" t="s">
        <v>80</v>
      </c>
      <c r="C27" s="34">
        <v>66.011875000000003</v>
      </c>
      <c r="D27" s="28">
        <f t="shared" si="0"/>
        <v>66011.875</v>
      </c>
      <c r="E27" s="5" t="s">
        <v>81</v>
      </c>
      <c r="F27" s="55">
        <v>27.850000000000009</v>
      </c>
      <c r="G27" s="1">
        <v>9.4500000000000028</v>
      </c>
      <c r="H27" s="101">
        <f t="shared" si="1"/>
        <v>1.6778502305198297</v>
      </c>
    </row>
    <row r="28" spans="1:8">
      <c r="A28" s="3" t="s">
        <v>79</v>
      </c>
      <c r="B28" s="3" t="s">
        <v>80</v>
      </c>
      <c r="C28" s="34">
        <v>66.024375000000006</v>
      </c>
      <c r="D28" s="28">
        <f t="shared" si="0"/>
        <v>66024.375</v>
      </c>
      <c r="E28" s="5" t="s">
        <v>81</v>
      </c>
      <c r="F28" s="55">
        <v>24.250000000000014</v>
      </c>
      <c r="G28" s="1">
        <v>5.8500000000000085</v>
      </c>
      <c r="H28" s="101">
        <f t="shared" si="1"/>
        <v>0.53060220965157356</v>
      </c>
    </row>
    <row r="29" spans="1:8">
      <c r="A29" s="3" t="s">
        <v>79</v>
      </c>
      <c r="B29" s="3" t="s">
        <v>80</v>
      </c>
      <c r="C29" s="34">
        <v>66.03</v>
      </c>
      <c r="D29" s="28">
        <f t="shared" si="0"/>
        <v>66030</v>
      </c>
      <c r="E29" s="5" t="s">
        <v>81</v>
      </c>
      <c r="F29" s="55">
        <v>25.150000000000006</v>
      </c>
      <c r="G29" s="1">
        <v>6.75</v>
      </c>
      <c r="H29" s="101">
        <f t="shared" si="1"/>
        <v>0.8174142148686353</v>
      </c>
    </row>
    <row r="30" spans="1:8">
      <c r="A30" s="3" t="s">
        <v>79</v>
      </c>
      <c r="B30" s="3" t="s">
        <v>80</v>
      </c>
      <c r="C30" s="34">
        <v>66.036875000000009</v>
      </c>
      <c r="D30" s="28">
        <f t="shared" si="0"/>
        <v>66036.875000000015</v>
      </c>
      <c r="E30" s="5" t="s">
        <v>81</v>
      </c>
      <c r="F30" s="55">
        <v>25.150000000000006</v>
      </c>
      <c r="G30" s="1">
        <v>6.75</v>
      </c>
      <c r="H30" s="101">
        <f t="shared" si="1"/>
        <v>0.8174142148686353</v>
      </c>
    </row>
    <row r="31" spans="1:8">
      <c r="A31" s="3" t="s">
        <v>79</v>
      </c>
      <c r="B31" s="3" t="s">
        <v>80</v>
      </c>
      <c r="C31" s="34">
        <v>66.037187500000002</v>
      </c>
      <c r="D31" s="28">
        <f t="shared" si="0"/>
        <v>66037.1875</v>
      </c>
      <c r="E31" s="5" t="s">
        <v>81</v>
      </c>
      <c r="F31" s="55">
        <v>22.000000000000014</v>
      </c>
      <c r="G31" s="1">
        <v>3.6000000000000085</v>
      </c>
      <c r="H31" s="101">
        <f t="shared" si="1"/>
        <v>-0.18642780339108767</v>
      </c>
    </row>
    <row r="32" spans="1:8">
      <c r="A32" s="3" t="s">
        <v>79</v>
      </c>
      <c r="B32" s="3" t="s">
        <v>80</v>
      </c>
      <c r="C32" s="34">
        <v>66.04258333333334</v>
      </c>
      <c r="D32" s="28">
        <f t="shared" si="0"/>
        <v>66042.583333333343</v>
      </c>
      <c r="E32" s="5" t="s">
        <v>81</v>
      </c>
      <c r="F32" s="55">
        <v>17.950000000000003</v>
      </c>
      <c r="G32" s="1">
        <v>-0.45000000000000284</v>
      </c>
      <c r="H32" s="101">
        <f t="shared" si="1"/>
        <v>-1.4770818268678814</v>
      </c>
    </row>
    <row r="33" spans="1:8">
      <c r="A33" s="3" t="s">
        <v>79</v>
      </c>
      <c r="B33" s="3" t="s">
        <v>80</v>
      </c>
      <c r="C33" s="34">
        <v>66.04258333333334</v>
      </c>
      <c r="D33" s="28">
        <f t="shared" si="0"/>
        <v>66042.583333333343</v>
      </c>
      <c r="E33" s="5" t="s">
        <v>81</v>
      </c>
      <c r="F33" s="55">
        <v>18.850000000000009</v>
      </c>
      <c r="G33" s="1">
        <v>0.45000000000000284</v>
      </c>
      <c r="H33" s="101">
        <f t="shared" si="1"/>
        <v>-1.1902698216508152</v>
      </c>
    </row>
    <row r="34" spans="1:8">
      <c r="A34" s="3" t="s">
        <v>79</v>
      </c>
      <c r="B34" s="3" t="s">
        <v>80</v>
      </c>
      <c r="C34" s="34">
        <v>66.045166666666674</v>
      </c>
      <c r="D34" s="28">
        <f t="shared" si="0"/>
        <v>66045.166666666672</v>
      </c>
      <c r="E34" s="5" t="s">
        <v>81</v>
      </c>
      <c r="F34" s="55">
        <v>18.400000000000006</v>
      </c>
      <c r="G34" s="1">
        <v>0</v>
      </c>
      <c r="H34" s="101">
        <f t="shared" si="1"/>
        <v>-1.3336758242593483</v>
      </c>
    </row>
    <row r="35" spans="1:8">
      <c r="A35" s="3" t="s">
        <v>79</v>
      </c>
      <c r="B35" s="3" t="s">
        <v>80</v>
      </c>
      <c r="C35" s="34">
        <v>66.047750000000008</v>
      </c>
      <c r="D35" s="28">
        <f t="shared" si="0"/>
        <v>66047.750000000015</v>
      </c>
      <c r="E35" s="5" t="s">
        <v>81</v>
      </c>
      <c r="F35" s="55">
        <v>19.750000000000014</v>
      </c>
      <c r="G35" s="1">
        <v>1.3500000000000085</v>
      </c>
      <c r="H35" s="101">
        <f t="shared" si="1"/>
        <v>-0.90345781643374889</v>
      </c>
    </row>
    <row r="36" spans="1:8">
      <c r="A36" s="3" t="s">
        <v>79</v>
      </c>
      <c r="B36" s="3" t="s">
        <v>80</v>
      </c>
      <c r="C36" s="34">
        <v>66.052916666666675</v>
      </c>
      <c r="D36" s="28">
        <f t="shared" si="0"/>
        <v>66052.916666666672</v>
      </c>
      <c r="E36" s="5" t="s">
        <v>81</v>
      </c>
      <c r="F36" s="55">
        <v>21.100000000000009</v>
      </c>
      <c r="G36" s="1">
        <v>2.7000000000000028</v>
      </c>
      <c r="H36" s="101">
        <f t="shared" si="1"/>
        <v>-0.47323980860815396</v>
      </c>
    </row>
    <row r="37" spans="1:8">
      <c r="A37" s="3" t="s">
        <v>79</v>
      </c>
      <c r="B37" s="3" t="s">
        <v>80</v>
      </c>
      <c r="C37" s="34">
        <v>66.058083333333343</v>
      </c>
      <c r="D37" s="28">
        <f t="shared" si="0"/>
        <v>66058.083333333343</v>
      </c>
      <c r="E37" s="5" t="s">
        <v>81</v>
      </c>
      <c r="F37" s="55">
        <v>20.200000000000003</v>
      </c>
      <c r="G37" s="1">
        <v>1.7999999999999972</v>
      </c>
      <c r="H37" s="101">
        <f t="shared" si="1"/>
        <v>-0.76005181382522025</v>
      </c>
    </row>
    <row r="38" spans="1:8">
      <c r="A38" s="3" t="s">
        <v>79</v>
      </c>
      <c r="B38" s="3" t="s">
        <v>80</v>
      </c>
      <c r="C38" s="34">
        <v>66.065833333333345</v>
      </c>
      <c r="D38" s="28">
        <f t="shared" si="0"/>
        <v>66065.833333333343</v>
      </c>
      <c r="E38" s="5" t="s">
        <v>81</v>
      </c>
      <c r="F38" s="55">
        <v>20.650000000000006</v>
      </c>
      <c r="G38" s="1">
        <v>2.25</v>
      </c>
      <c r="H38" s="101">
        <f t="shared" si="1"/>
        <v>-0.61664581121668705</v>
      </c>
    </row>
    <row r="39" spans="1:8">
      <c r="A39" s="3" t="s">
        <v>79</v>
      </c>
      <c r="B39" s="3" t="s">
        <v>80</v>
      </c>
      <c r="C39" s="34">
        <v>66.073583333333332</v>
      </c>
      <c r="D39" s="28">
        <f t="shared" si="0"/>
        <v>66073.583333333328</v>
      </c>
      <c r="E39" s="5" t="s">
        <v>81</v>
      </c>
      <c r="F39" s="55">
        <v>22.900000000000006</v>
      </c>
      <c r="G39" s="1">
        <v>4.5</v>
      </c>
      <c r="H39" s="101">
        <f t="shared" si="1"/>
        <v>0.10038420182597411</v>
      </c>
    </row>
    <row r="40" spans="1:8">
      <c r="A40" s="3" t="s">
        <v>79</v>
      </c>
      <c r="B40" s="3" t="s">
        <v>80</v>
      </c>
      <c r="C40" s="34">
        <v>66.078749999999999</v>
      </c>
      <c r="D40" s="28">
        <f t="shared" si="0"/>
        <v>66078.75</v>
      </c>
      <c r="E40" s="5" t="s">
        <v>81</v>
      </c>
      <c r="F40" s="55">
        <v>20.200000000000003</v>
      </c>
      <c r="G40" s="1">
        <v>1.8</v>
      </c>
      <c r="H40" s="101">
        <f t="shared" si="1"/>
        <v>-0.76005181382522025</v>
      </c>
    </row>
    <row r="41" spans="1:8">
      <c r="A41" s="3" t="s">
        <v>79</v>
      </c>
      <c r="B41" s="3" t="s">
        <v>80</v>
      </c>
      <c r="C41" s="34">
        <v>66.091666666666669</v>
      </c>
      <c r="D41" s="28">
        <f t="shared" si="0"/>
        <v>66091.666666666672</v>
      </c>
      <c r="E41" s="5" t="s">
        <v>81</v>
      </c>
      <c r="F41" s="55">
        <v>20.200000000000003</v>
      </c>
      <c r="G41" s="1">
        <v>1.8</v>
      </c>
      <c r="H41" s="101">
        <f t="shared" si="1"/>
        <v>-0.76005181382522025</v>
      </c>
    </row>
    <row r="42" spans="1:8">
      <c r="F42" s="47">
        <f>AVERAGE(F2:F41)</f>
        <v>22.585000000000001</v>
      </c>
    </row>
    <row r="43" spans="1:8">
      <c r="F43" s="5">
        <f>STDEV(F2:F41)</f>
        <v>3.1379439618470739</v>
      </c>
    </row>
  </sheetData>
  <phoneticPr fontId="1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1"/>
  <sheetViews>
    <sheetView workbookViewId="0">
      <pane ySplit="1" topLeftCell="A2" activePane="bottomLeft" state="frozen"/>
      <selection pane="bottomLeft"/>
    </sheetView>
  </sheetViews>
  <sheetFormatPr baseColWidth="10" defaultColWidth="18.1640625" defaultRowHeight="16"/>
  <cols>
    <col min="1" max="1" width="18" style="5" customWidth="1"/>
    <col min="2" max="2" width="6.1640625" style="5" customWidth="1"/>
    <col min="3" max="3" width="9.6640625" style="2" customWidth="1"/>
    <col min="4" max="4" width="10.1640625" style="2" customWidth="1"/>
    <col min="5" max="6" width="16.83203125" style="2" customWidth="1"/>
    <col min="7" max="7" width="14.1640625" style="2" customWidth="1"/>
    <col min="8" max="8" width="16.83203125" style="101" customWidth="1"/>
    <col min="9" max="9" width="13" style="2" customWidth="1"/>
    <col min="10" max="10" width="11.83203125" style="89" customWidth="1"/>
    <col min="11" max="11" width="13" style="2" customWidth="1"/>
    <col min="12" max="12" width="11.83203125" style="89" customWidth="1"/>
    <col min="13" max="13" width="13" style="2" customWidth="1"/>
    <col min="14" max="14" width="15" style="89" customWidth="1"/>
    <col min="15" max="15" width="13" style="2" customWidth="1"/>
    <col min="16" max="16" width="14" style="89" customWidth="1"/>
    <col min="17" max="16384" width="18.1640625" style="2"/>
  </cols>
  <sheetData>
    <row r="1" spans="1:16" ht="34">
      <c r="A1" s="8" t="s">
        <v>1</v>
      </c>
      <c r="B1" s="8" t="s">
        <v>20</v>
      </c>
      <c r="C1" s="8" t="s">
        <v>21</v>
      </c>
      <c r="D1" s="25" t="s">
        <v>18</v>
      </c>
      <c r="E1" s="7" t="s">
        <v>2</v>
      </c>
      <c r="F1" s="26" t="s">
        <v>22</v>
      </c>
      <c r="G1" s="8" t="s">
        <v>23</v>
      </c>
      <c r="H1" s="100" t="s">
        <v>17</v>
      </c>
      <c r="I1" s="8" t="s">
        <v>10</v>
      </c>
      <c r="J1" s="87" t="s">
        <v>11</v>
      </c>
      <c r="K1" s="8" t="s">
        <v>10</v>
      </c>
      <c r="L1" s="87" t="s">
        <v>14</v>
      </c>
      <c r="M1" s="8" t="s">
        <v>10</v>
      </c>
      <c r="N1" s="87" t="s">
        <v>15</v>
      </c>
      <c r="O1" s="8" t="s">
        <v>10</v>
      </c>
      <c r="P1" s="87" t="s">
        <v>16</v>
      </c>
    </row>
    <row r="2" spans="1:16">
      <c r="A2" s="1" t="s">
        <v>82</v>
      </c>
      <c r="B2" s="1" t="s">
        <v>83</v>
      </c>
      <c r="C2" s="10">
        <v>65.521000000000001</v>
      </c>
      <c r="D2" s="50">
        <f>C2*1000</f>
        <v>65521</v>
      </c>
      <c r="E2" s="5" t="s">
        <v>72</v>
      </c>
      <c r="F2" s="75">
        <v>23.947991796817234</v>
      </c>
      <c r="G2" s="76">
        <v>3.2388061415507696</v>
      </c>
      <c r="H2" s="101">
        <f>(F2-23.32634615)/4.248545094</f>
        <v>0.14631965368454092</v>
      </c>
      <c r="I2" s="3">
        <v>0.30717534639400002</v>
      </c>
      <c r="J2" s="88">
        <v>65600</v>
      </c>
      <c r="K2" s="3">
        <v>0.30717534639400002</v>
      </c>
      <c r="L2" s="88">
        <v>65550</v>
      </c>
      <c r="M2" s="3">
        <v>0.30717534639400002</v>
      </c>
      <c r="N2" s="88">
        <v>65500</v>
      </c>
      <c r="O2" s="3">
        <v>0.30717534639400002</v>
      </c>
      <c r="P2" s="88">
        <v>65500</v>
      </c>
    </row>
    <row r="3" spans="1:16">
      <c r="A3" s="1" t="s">
        <v>82</v>
      </c>
      <c r="B3" s="1" t="s">
        <v>83</v>
      </c>
      <c r="C3" s="10">
        <v>65.521000000000001</v>
      </c>
      <c r="D3" s="50">
        <f>C3*1000</f>
        <v>65521</v>
      </c>
      <c r="E3" s="5" t="s">
        <v>72</v>
      </c>
      <c r="F3" s="75">
        <v>21.337895174714561</v>
      </c>
      <c r="G3" s="76">
        <v>3.1541921698330779</v>
      </c>
      <c r="H3" s="101">
        <f t="shared" ref="H3:H29" si="0">(F3-23.32634615)/4.248545094</f>
        <v>-0.46803103916529559</v>
      </c>
      <c r="I3" s="3">
        <v>1.10160970824</v>
      </c>
      <c r="J3" s="88">
        <v>65800</v>
      </c>
      <c r="K3" s="3">
        <v>0.70189596554400002</v>
      </c>
      <c r="L3" s="88">
        <v>65850</v>
      </c>
      <c r="M3" s="3">
        <v>1.53491569795</v>
      </c>
      <c r="N3" s="88">
        <v>65800</v>
      </c>
      <c r="O3" s="3">
        <v>1.53491569795</v>
      </c>
      <c r="P3" s="88">
        <v>65800</v>
      </c>
    </row>
    <row r="4" spans="1:16">
      <c r="A4" s="1" t="s">
        <v>82</v>
      </c>
      <c r="B4" s="1" t="s">
        <v>83</v>
      </c>
      <c r="C4" s="10">
        <v>65.689953274000004</v>
      </c>
      <c r="D4" s="50">
        <f t="shared" ref="D4:D29" si="1">C4*1000</f>
        <v>65689.953274</v>
      </c>
      <c r="E4" s="5" t="s">
        <v>72</v>
      </c>
      <c r="F4" s="75">
        <v>23.562210671503237</v>
      </c>
      <c r="G4" s="76">
        <v>3.226205768137647</v>
      </c>
      <c r="H4" s="101">
        <f t="shared" si="0"/>
        <v>5.5516539494034671E-2</v>
      </c>
      <c r="I4" s="3">
        <v>1.5608581560999999</v>
      </c>
      <c r="J4" s="88">
        <v>66200</v>
      </c>
      <c r="K4" s="3">
        <v>1.4644719992599999</v>
      </c>
      <c r="L4" s="88">
        <v>66150</v>
      </c>
      <c r="M4" s="3">
        <v>7.7296575013600002E-2</v>
      </c>
      <c r="N4" s="88">
        <v>65900</v>
      </c>
      <c r="O4" s="3">
        <v>7.7296575013600002E-2</v>
      </c>
      <c r="P4" s="88">
        <v>65900</v>
      </c>
    </row>
    <row r="5" spans="1:16">
      <c r="A5" s="1" t="s">
        <v>82</v>
      </c>
      <c r="B5" s="1" t="s">
        <v>83</v>
      </c>
      <c r="C5" s="10">
        <v>65.778000000000006</v>
      </c>
      <c r="D5" s="50">
        <f t="shared" si="1"/>
        <v>65778</v>
      </c>
      <c r="E5" s="5" t="s">
        <v>72</v>
      </c>
      <c r="F5" s="75">
        <v>25.9320929917847</v>
      </c>
      <c r="G5" s="76">
        <v>3.3041293367849933</v>
      </c>
      <c r="H5" s="101">
        <f t="shared" si="0"/>
        <v>0.6133268646400063</v>
      </c>
      <c r="I5" s="3">
        <v>0.13568085135399999</v>
      </c>
      <c r="J5" s="88">
        <v>67000</v>
      </c>
      <c r="K5" s="3">
        <v>0.220102785774</v>
      </c>
      <c r="L5" s="88">
        <v>66300</v>
      </c>
      <c r="M5" s="3">
        <v>0.220102785774</v>
      </c>
      <c r="N5" s="88">
        <v>66300</v>
      </c>
      <c r="O5" s="3">
        <v>0.13568085135399999</v>
      </c>
      <c r="P5" s="88">
        <v>66900</v>
      </c>
    </row>
    <row r="6" spans="1:16">
      <c r="A6" s="1" t="s">
        <v>82</v>
      </c>
      <c r="B6" s="1" t="s">
        <v>83</v>
      </c>
      <c r="C6" s="10">
        <v>65.778000000000006</v>
      </c>
      <c r="D6" s="50">
        <f t="shared" si="1"/>
        <v>65778</v>
      </c>
      <c r="E6" s="5" t="s">
        <v>72</v>
      </c>
      <c r="F6" s="75">
        <v>24.37712668015098</v>
      </c>
      <c r="G6" s="76">
        <v>3.2528610319989673</v>
      </c>
      <c r="H6" s="101">
        <f t="shared" si="0"/>
        <v>0.24732714538794548</v>
      </c>
      <c r="I6" s="3">
        <v>6.8137256507199997E-2</v>
      </c>
      <c r="J6" s="88">
        <v>67200</v>
      </c>
      <c r="K6" s="3">
        <v>0.13568085135399999</v>
      </c>
      <c r="L6" s="88">
        <v>66900</v>
      </c>
      <c r="M6" s="3">
        <v>0.13568085135399999</v>
      </c>
      <c r="N6" s="88">
        <v>66900</v>
      </c>
    </row>
    <row r="7" spans="1:16">
      <c r="A7" s="1" t="s">
        <v>82</v>
      </c>
      <c r="B7" s="1" t="s">
        <v>83</v>
      </c>
      <c r="C7" s="10">
        <v>65.787999999999997</v>
      </c>
      <c r="D7" s="50">
        <f t="shared" si="1"/>
        <v>65788</v>
      </c>
      <c r="E7" s="5" t="s">
        <v>72</v>
      </c>
      <c r="F7" s="75">
        <v>30.562644214902399</v>
      </c>
      <c r="G7" s="76">
        <v>3.4599866581509096</v>
      </c>
      <c r="H7" s="101">
        <f t="shared" si="0"/>
        <v>1.703241440257242</v>
      </c>
      <c r="I7" s="3">
        <v>1.0270109430700001</v>
      </c>
      <c r="J7" s="88">
        <v>68600</v>
      </c>
      <c r="K7" s="3">
        <v>6.8137256507199997E-2</v>
      </c>
      <c r="L7" s="88">
        <v>67200</v>
      </c>
      <c r="M7" s="3">
        <v>6.8137256507199997E-2</v>
      </c>
      <c r="N7" s="88">
        <v>67200</v>
      </c>
    </row>
    <row r="8" spans="1:16">
      <c r="A8" s="1" t="s">
        <v>82</v>
      </c>
      <c r="B8" s="1" t="s">
        <v>83</v>
      </c>
      <c r="C8" s="10">
        <v>65.808999999999997</v>
      </c>
      <c r="D8" s="50">
        <f t="shared" si="1"/>
        <v>65809</v>
      </c>
      <c r="E8" s="5" t="s">
        <v>72</v>
      </c>
      <c r="F8" s="75">
        <v>31.30898743370409</v>
      </c>
      <c r="G8" s="76">
        <v>3.9008752999962502</v>
      </c>
      <c r="H8" s="101">
        <f t="shared" si="0"/>
        <v>1.8789117467477423</v>
      </c>
      <c r="I8" s="3"/>
      <c r="J8" s="88"/>
    </row>
    <row r="9" spans="1:16">
      <c r="A9" s="1" t="s">
        <v>82</v>
      </c>
      <c r="B9" s="1" t="s">
        <v>83</v>
      </c>
      <c r="C9" s="10">
        <v>65.808999999999997</v>
      </c>
      <c r="D9" s="50">
        <f t="shared" si="1"/>
        <v>65809</v>
      </c>
      <c r="E9" s="5" t="s">
        <v>72</v>
      </c>
      <c r="F9" s="75">
        <v>20.359645582035228</v>
      </c>
      <c r="G9" s="76">
        <v>3.1228630521135701</v>
      </c>
      <c r="H9" s="101">
        <f t="shared" si="0"/>
        <v>-0.69828623736499562</v>
      </c>
      <c r="I9" s="3"/>
      <c r="J9" s="88"/>
    </row>
    <row r="10" spans="1:16">
      <c r="A10" s="1" t="s">
        <v>82</v>
      </c>
      <c r="B10" s="1" t="s">
        <v>83</v>
      </c>
      <c r="C10" s="10">
        <v>65.808999999999997</v>
      </c>
      <c r="D10" s="50">
        <f t="shared" si="1"/>
        <v>65809</v>
      </c>
      <c r="E10" s="5" t="s">
        <v>72</v>
      </c>
      <c r="F10" s="75">
        <v>17.495246093468211</v>
      </c>
      <c r="G10" s="76">
        <v>4.219381850130981</v>
      </c>
      <c r="H10" s="101">
        <f t="shared" si="0"/>
        <v>-1.3724933895056801</v>
      </c>
    </row>
    <row r="11" spans="1:16">
      <c r="A11" s="1" t="s">
        <v>82</v>
      </c>
      <c r="B11" s="1" t="s">
        <v>83</v>
      </c>
      <c r="C11" s="10">
        <v>65.819000000000003</v>
      </c>
      <c r="D11" s="50">
        <f t="shared" si="1"/>
        <v>65819</v>
      </c>
      <c r="E11" s="5" t="s">
        <v>72</v>
      </c>
      <c r="F11" s="75">
        <v>27.21644516506251</v>
      </c>
      <c r="G11" s="76">
        <v>3.3468792924981305</v>
      </c>
      <c r="H11" s="101">
        <f t="shared" si="0"/>
        <v>0.91563086397654014</v>
      </c>
    </row>
    <row r="12" spans="1:16">
      <c r="A12" s="1" t="s">
        <v>82</v>
      </c>
      <c r="B12" s="1" t="s">
        <v>83</v>
      </c>
      <c r="C12" s="10">
        <v>65.882000000000005</v>
      </c>
      <c r="D12" s="50">
        <f t="shared" si="1"/>
        <v>65882</v>
      </c>
      <c r="E12" s="5" t="s">
        <v>72</v>
      </c>
      <c r="F12" s="75">
        <v>24.891204473033838</v>
      </c>
      <c r="G12" s="76">
        <v>3.2697514039380562</v>
      </c>
      <c r="H12" s="101">
        <f t="shared" si="0"/>
        <v>0.36832804840504274</v>
      </c>
    </row>
    <row r="13" spans="1:16">
      <c r="A13" s="1" t="s">
        <v>82</v>
      </c>
      <c r="B13" s="1" t="s">
        <v>83</v>
      </c>
      <c r="C13" s="10">
        <v>65.923000000000002</v>
      </c>
      <c r="D13" s="50">
        <f t="shared" si="1"/>
        <v>65923</v>
      </c>
      <c r="E13" s="5" t="s">
        <v>72</v>
      </c>
      <c r="F13" s="75">
        <v>24.234408503853615</v>
      </c>
      <c r="G13" s="76">
        <v>3.2481822679481751</v>
      </c>
      <c r="H13" s="101">
        <f t="shared" si="0"/>
        <v>0.21373489836227119</v>
      </c>
    </row>
    <row r="14" spans="1:16">
      <c r="A14" s="1" t="s">
        <v>82</v>
      </c>
      <c r="B14" s="1" t="s">
        <v>83</v>
      </c>
      <c r="C14" s="10">
        <v>66.105821521599992</v>
      </c>
      <c r="D14" s="50">
        <f t="shared" si="1"/>
        <v>66105.821521599995</v>
      </c>
      <c r="E14" s="5" t="s">
        <v>72</v>
      </c>
      <c r="F14" s="75">
        <v>15.240189313387077</v>
      </c>
      <c r="G14" s="76">
        <v>2.4569825636065712</v>
      </c>
      <c r="H14" s="101">
        <f t="shared" si="0"/>
        <v>-1.903276688302681</v>
      </c>
    </row>
    <row r="15" spans="1:16">
      <c r="A15" s="1" t="s">
        <v>82</v>
      </c>
      <c r="B15" s="1" t="s">
        <v>83</v>
      </c>
      <c r="C15" s="10">
        <v>66.22</v>
      </c>
      <c r="D15" s="50">
        <f t="shared" si="1"/>
        <v>66220</v>
      </c>
      <c r="E15" s="5" t="s">
        <v>72</v>
      </c>
      <c r="F15" s="75">
        <v>27.683939970108895</v>
      </c>
      <c r="G15" s="76">
        <v>3.3625310260405477</v>
      </c>
      <c r="H15" s="101">
        <f t="shared" si="0"/>
        <v>1.0256673105018703</v>
      </c>
    </row>
    <row r="16" spans="1:16">
      <c r="A16" s="1" t="s">
        <v>82</v>
      </c>
      <c r="B16" s="1" t="s">
        <v>83</v>
      </c>
      <c r="C16" s="10">
        <v>66.260999999999996</v>
      </c>
      <c r="D16" s="50">
        <f t="shared" si="1"/>
        <v>66261</v>
      </c>
      <c r="E16" s="5" t="s">
        <v>72</v>
      </c>
      <c r="F16" s="75">
        <v>28.502941837798062</v>
      </c>
      <c r="G16" s="76">
        <v>3.3900687104834364</v>
      </c>
      <c r="H16" s="101">
        <f t="shared" si="0"/>
        <v>1.2184396242159936</v>
      </c>
    </row>
    <row r="17" spans="1:8">
      <c r="A17" s="1" t="s">
        <v>82</v>
      </c>
      <c r="B17" s="1" t="s">
        <v>83</v>
      </c>
      <c r="C17" s="10">
        <v>66.307000000000002</v>
      </c>
      <c r="D17" s="50">
        <f t="shared" si="1"/>
        <v>66307</v>
      </c>
      <c r="E17" s="5" t="s">
        <v>72</v>
      </c>
      <c r="F17" s="75">
        <v>26.632708616255741</v>
      </c>
      <c r="G17" s="76">
        <v>4.1918746454357976</v>
      </c>
      <c r="H17" s="101">
        <f t="shared" si="0"/>
        <v>0.77823405262313117</v>
      </c>
    </row>
    <row r="18" spans="1:8">
      <c r="A18" s="1" t="s">
        <v>82</v>
      </c>
      <c r="B18" s="1" t="s">
        <v>83</v>
      </c>
      <c r="C18" s="10">
        <v>66.918999999999997</v>
      </c>
      <c r="D18" s="50">
        <f t="shared" si="1"/>
        <v>66919</v>
      </c>
      <c r="E18" s="5" t="s">
        <v>72</v>
      </c>
      <c r="F18" s="75">
        <v>19.890767277483519</v>
      </c>
      <c r="G18" s="76">
        <v>3.4366045306750403</v>
      </c>
      <c r="H18" s="101">
        <f t="shared" si="0"/>
        <v>-0.80864832466256975</v>
      </c>
    </row>
    <row r="19" spans="1:8">
      <c r="A19" s="1" t="s">
        <v>82</v>
      </c>
      <c r="B19" s="1" t="s">
        <v>83</v>
      </c>
      <c r="C19" s="10">
        <v>66.918999999999997</v>
      </c>
      <c r="D19" s="50">
        <f t="shared" si="1"/>
        <v>66919</v>
      </c>
      <c r="E19" s="5" t="s">
        <v>72</v>
      </c>
      <c r="F19" s="75">
        <v>18.737874846626994</v>
      </c>
      <c r="G19" s="76">
        <v>4.2737323728646288</v>
      </c>
      <c r="H19" s="101">
        <f t="shared" si="0"/>
        <v>-1.0800100273981004</v>
      </c>
    </row>
    <row r="20" spans="1:8">
      <c r="A20" s="1" t="s">
        <v>82</v>
      </c>
      <c r="B20" s="1" t="s">
        <v>83</v>
      </c>
      <c r="C20" s="10">
        <v>67.242999999999995</v>
      </c>
      <c r="D20" s="50">
        <f t="shared" si="1"/>
        <v>67243</v>
      </c>
      <c r="E20" s="5" t="s">
        <v>72</v>
      </c>
      <c r="F20" s="75">
        <v>16.655519414767753</v>
      </c>
      <c r="G20" s="76">
        <v>3.006116191270515</v>
      </c>
      <c r="H20" s="101">
        <f t="shared" si="0"/>
        <v>-1.5701437992627427</v>
      </c>
    </row>
    <row r="21" spans="1:8">
      <c r="A21" s="1" t="s">
        <v>82</v>
      </c>
      <c r="B21" s="1" t="s">
        <v>83</v>
      </c>
      <c r="C21" s="10">
        <v>67.242999999999995</v>
      </c>
      <c r="D21" s="50">
        <f t="shared" si="1"/>
        <v>67243</v>
      </c>
      <c r="E21" s="5" t="s">
        <v>72</v>
      </c>
      <c r="F21" s="75">
        <v>16.0765510010051</v>
      </c>
      <c r="G21" s="76">
        <v>4.1578961208442058</v>
      </c>
      <c r="H21" s="101">
        <f t="shared" si="0"/>
        <v>-1.7064183122908143</v>
      </c>
    </row>
    <row r="22" spans="1:8">
      <c r="A22" s="1" t="s">
        <v>82</v>
      </c>
      <c r="B22" s="1" t="s">
        <v>83</v>
      </c>
      <c r="C22" s="10">
        <v>68.448999999999998</v>
      </c>
      <c r="D22" s="50">
        <f t="shared" si="1"/>
        <v>68449</v>
      </c>
      <c r="E22" s="5" t="s">
        <v>72</v>
      </c>
      <c r="F22" s="75">
        <v>24.895514675891206</v>
      </c>
      <c r="G22" s="76">
        <v>3.2698932651516834</v>
      </c>
      <c r="H22" s="101">
        <f t="shared" si="0"/>
        <v>0.36934256108220737</v>
      </c>
    </row>
    <row r="23" spans="1:8">
      <c r="A23" s="1" t="s">
        <v>82</v>
      </c>
      <c r="B23" s="1" t="s">
        <v>83</v>
      </c>
      <c r="C23" s="10">
        <v>68.504000000000005</v>
      </c>
      <c r="D23" s="50">
        <f t="shared" si="1"/>
        <v>68504</v>
      </c>
      <c r="E23" s="5" t="s">
        <v>72</v>
      </c>
      <c r="F23" s="75">
        <v>20.890040563520131</v>
      </c>
      <c r="G23" s="76">
        <v>3.1398234403814116</v>
      </c>
      <c r="H23" s="101">
        <f t="shared" si="0"/>
        <v>-0.57344468107930324</v>
      </c>
    </row>
    <row r="24" spans="1:8">
      <c r="A24" s="1" t="s">
        <v>82</v>
      </c>
      <c r="B24" s="1" t="s">
        <v>83</v>
      </c>
      <c r="C24" s="10">
        <v>68.504000000000005</v>
      </c>
      <c r="D24" s="50">
        <f t="shared" si="1"/>
        <v>68504</v>
      </c>
      <c r="E24" s="5" t="s">
        <v>72</v>
      </c>
      <c r="F24" s="75">
        <v>25.253342867619324</v>
      </c>
      <c r="G24" s="76">
        <v>4.5663606699824246</v>
      </c>
      <c r="H24" s="101">
        <f t="shared" si="0"/>
        <v>0.45356626209304507</v>
      </c>
    </row>
    <row r="25" spans="1:8">
      <c r="A25" s="1" t="s">
        <v>82</v>
      </c>
      <c r="B25" s="1" t="s">
        <v>83</v>
      </c>
      <c r="C25" s="10">
        <v>68.605999999999995</v>
      </c>
      <c r="D25" s="50">
        <f t="shared" si="1"/>
        <v>68606</v>
      </c>
      <c r="E25" s="5" t="s">
        <v>72</v>
      </c>
      <c r="F25" s="75">
        <v>26.028618487074425</v>
      </c>
      <c r="G25" s="76">
        <v>3.3073294848849968</v>
      </c>
      <c r="H25" s="101">
        <f t="shared" si="0"/>
        <v>0.63604652352418367</v>
      </c>
    </row>
    <row r="26" spans="1:8">
      <c r="A26" s="1" t="s">
        <v>82</v>
      </c>
      <c r="B26" s="1" t="s">
        <v>83</v>
      </c>
      <c r="C26" s="10">
        <v>68.605999999999995</v>
      </c>
      <c r="D26" s="50">
        <f t="shared" si="1"/>
        <v>68606</v>
      </c>
      <c r="E26" s="5" t="s">
        <v>72</v>
      </c>
      <c r="F26" s="75">
        <v>18.637434982456</v>
      </c>
      <c r="G26" s="76">
        <v>10.575537969573636</v>
      </c>
      <c r="H26" s="101">
        <f t="shared" si="0"/>
        <v>-1.1036510296585778</v>
      </c>
    </row>
    <row r="27" spans="1:8">
      <c r="A27" s="1" t="s">
        <v>82</v>
      </c>
      <c r="B27" s="1" t="s">
        <v>83</v>
      </c>
      <c r="C27" s="10">
        <v>68.619</v>
      </c>
      <c r="D27" s="50">
        <f t="shared" si="1"/>
        <v>68619</v>
      </c>
      <c r="E27" s="5" t="s">
        <v>72</v>
      </c>
      <c r="F27" s="75">
        <v>23.391140496059336</v>
      </c>
      <c r="G27" s="76">
        <v>3.2206287535318392</v>
      </c>
      <c r="H27" s="101">
        <f t="shared" si="0"/>
        <v>1.5250949354601993E-2</v>
      </c>
    </row>
    <row r="28" spans="1:8">
      <c r="A28" s="1" t="s">
        <v>82</v>
      </c>
      <c r="B28" s="1" t="s">
        <v>83</v>
      </c>
      <c r="C28" s="77">
        <v>68.865405029999991</v>
      </c>
      <c r="D28" s="50">
        <f t="shared" si="1"/>
        <v>68865.405029999994</v>
      </c>
      <c r="E28" s="5" t="s">
        <v>72</v>
      </c>
      <c r="F28" s="75">
        <v>24.15768215298425</v>
      </c>
      <c r="G28" s="76">
        <v>4.9097916764205367</v>
      </c>
      <c r="H28" s="101">
        <f t="shared" si="0"/>
        <v>0.19567545703076192</v>
      </c>
    </row>
    <row r="29" spans="1:8">
      <c r="A29" s="1" t="s">
        <v>82</v>
      </c>
      <c r="B29" s="1" t="s">
        <v>83</v>
      </c>
      <c r="C29" s="10">
        <v>68.933000000000007</v>
      </c>
      <c r="D29" s="50">
        <f t="shared" si="1"/>
        <v>68933</v>
      </c>
      <c r="E29" s="5" t="s">
        <v>72</v>
      </c>
      <c r="F29" s="75">
        <v>25.23752686160492</v>
      </c>
      <c r="G29" s="76">
        <v>3.2811629581616253</v>
      </c>
      <c r="H29" s="101">
        <f t="shared" si="0"/>
        <v>0.44984357452248352</v>
      </c>
    </row>
    <row r="30" spans="1:8">
      <c r="F30" s="47">
        <f>AVERAGE(F2:F29)</f>
        <v>23.326346148059763</v>
      </c>
    </row>
    <row r="31" spans="1:8">
      <c r="F31" s="5">
        <f>STDEV(F2:F29)</f>
        <v>4.2485450944267118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total data</vt:lpstr>
      <vt:lpstr>total IQR</vt:lpstr>
      <vt:lpstr>total z-score</vt:lpstr>
      <vt:lpstr>DSDP528</vt:lpstr>
      <vt:lpstr>ODP690</vt:lpstr>
      <vt:lpstr>ODP690 2</vt:lpstr>
      <vt:lpstr>ODP1209</vt:lpstr>
      <vt:lpstr>Haymana Basin</vt:lpstr>
      <vt:lpstr>Haymana Basin 2</vt:lpstr>
      <vt:lpstr>DSDP577</vt:lpstr>
      <vt:lpstr>ODP1049</vt:lpstr>
      <vt:lpstr>DSDP384</vt:lpstr>
      <vt:lpstr>DSDP525</vt:lpstr>
      <vt:lpstr>DSDP525 2</vt:lpstr>
      <vt:lpstr>ODP1262</vt:lpstr>
      <vt:lpstr>Bass River</vt:lpstr>
      <vt:lpstr>Bass River 2</vt:lpstr>
      <vt:lpstr>Bass River 3</vt:lpstr>
      <vt:lpstr>Bass River 4</vt:lpstr>
      <vt:lpstr>Meirs Farm</vt:lpstr>
      <vt:lpstr>Brazos River</vt:lpstr>
      <vt:lpstr>Bajada del Jagüel</vt:lpstr>
      <vt:lpstr>West Texas</vt:lpstr>
      <vt:lpstr>Williston Basin</vt:lpstr>
      <vt:lpstr>Garfield County</vt:lpstr>
      <vt:lpstr>Seymour Island</vt:lpstr>
      <vt:lpstr>Seymour Island 2</vt:lpstr>
      <vt:lpstr>Seymour Island 3</vt:lpstr>
      <vt:lpstr>EI Kef</vt:lpstr>
      <vt:lpstr>Songliao Basin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 GU</cp:lastModifiedBy>
  <dcterms:modified xsi:type="dcterms:W3CDTF">2026-08-17T11:07:12Z</dcterms:modified>
</cp:coreProperties>
</file>